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UserStates" sheetId="2" r:id="rId6"/>
    <sheet state="visible" name="AuditLog" sheetId="3" r:id="rId7"/>
    <sheet state="visible" name="UserSessions" sheetId="4" r:id="rId8"/>
    <sheet state="visible" name="Services" sheetId="5" r:id="rId9"/>
    <sheet state="visible" name="Requests" sheetId="6" r:id="rId10"/>
    <sheet state="visible" name="RequestOptions" sheetId="7" r:id="rId11"/>
    <sheet state="visible" name="ProviderServices" sheetId="8" r:id="rId12"/>
    <sheet state="visible" name="ProviderSchedule" sheetId="9" r:id="rId13"/>
    <sheet state="visible" name="Providers" sheetId="10" r:id="rId14"/>
    <sheet state="visible" name="ProviderExceptions" sheetId="11" r:id="rId15"/>
    <sheet state="visible" name="Notifications" sheetId="12" r:id="rId16"/>
    <sheet state="visible" name="Messages" sheetId="13" r:id="rId17"/>
    <sheet state="visible" name="Locations" sheetId="14" r:id="rId18"/>
    <sheet state="visible" name="Customers" sheetId="15" r:id="rId19"/>
    <sheet state="visible" name="Appointments" sheetId="16" r:id="rId20"/>
  </sheets>
  <definedNames/>
  <calcPr/>
</workbook>
</file>

<file path=xl/sharedStrings.xml><?xml version="1.0" encoding="utf-8"?>
<sst xmlns="http://schemas.openxmlformats.org/spreadsheetml/2006/main" count="609" uniqueCount="374">
  <si>
    <t>key</t>
  </si>
  <si>
    <t>value</t>
  </si>
  <si>
    <t>comment</t>
  </si>
  <si>
    <t>BusinessName</t>
  </si>
  <si>
    <t>SmartFlow Beauty Demo</t>
  </si>
  <si>
    <t>Название</t>
  </si>
  <si>
    <t>Language</t>
  </si>
  <si>
    <t>ru</t>
  </si>
  <si>
    <t>Язык</t>
  </si>
  <si>
    <t>TimeZone</t>
  </si>
  <si>
    <t>Europe/Kyiv</t>
  </si>
  <si>
    <t>Часовой пояс</t>
  </si>
  <si>
    <t>Currency</t>
  </si>
  <si>
    <t>UAH</t>
  </si>
  <si>
    <t>Валюта</t>
  </si>
  <si>
    <t>ClientBotToken</t>
  </si>
  <si>
    <t>8771518181:AAFr9SnyJjLR1aVCOgNSvCrdI0xb1M-q1R4</t>
  </si>
  <si>
    <t>Пока тест</t>
  </si>
  <si>
    <t>AdminBotToken</t>
  </si>
  <si>
    <t>TEST</t>
  </si>
  <si>
    <t>OwnerTelegramId</t>
  </si>
  <si>
    <t>Пока неизвестен</t>
  </si>
  <si>
    <t>MainCalendarId</t>
  </si>
  <si>
    <t>ReminderDayBefore</t>
  </si>
  <si>
    <t>Reminder2Hours</t>
  </si>
  <si>
    <t>ReminderMonth</t>
  </si>
  <si>
    <t>ClientWebAppUrl</t>
  </si>
  <si>
    <t>https://script.google.com/macros/s/AKfycbxtu0SbRTctUotAo7xz9YDXntkW6bG4CZOoJDj06ruIlZJ02FeqdUl93UNR1_4FwnF6/exec</t>
  </si>
  <si>
    <t>telegram_id</t>
  </si>
  <si>
    <t>state</t>
  </si>
  <si>
    <t>updated_at</t>
  </si>
  <si>
    <t>timestamp</t>
  </si>
  <si>
    <t>user_id</t>
  </si>
  <si>
    <t>action</t>
  </si>
  <si>
    <t>details</t>
  </si>
  <si>
    <t>DOPOST_STARTED</t>
  </si>
  <si>
    <t>Started</t>
  </si>
  <si>
    <t>RAW_POST</t>
  </si>
  <si>
    <t>{"update_id":488306745,
"message":{"message_id":44,"from":{"id":7752853740,"is_bot":false,"first_name":"Run","last_name":"Pipelines","username":"RunPipelines","language_code":"ru"},"chat":{"id":7752853740,"first_name":"Run","last_name":"Pipelines","username":"RunPipelines","type":"private"},"date":1781129395,"text":"test"}}</t>
  </si>
  <si>
    <t>SETTINGS_LOADED</t>
  </si>
  <si>
    <t>{"BusinessName":"SmartFlow Beauty Demo","Language":"ru","TimeZone":"Europe/Kyiv","Currency":"UAH","ClientBotToken":"8771518181:AAFr9SnyJjLR1aVCOgNSvCrdI0xb1M-q1R4","AdminBotToken":"TEST","OwnerTelegramId":7752853740,"MainCalendarId":"TEST","ReminderDayBefore":true,"Reminder2Hours":true,"ReminderMonth":false,"ClientWebAppUrl":"https://script.google.com/macros/s/AKfycbwcfRcjzj5qR9zvI8hUgVEPy4svi6iyXTCQzftn_v4el71mwiYFfCG0JhH2DfuolQIl/exec"}</t>
  </si>
  <si>
    <t>CHAT_ID</t>
  </si>
  <si>
    <t>SEND_TO_OWNER_RESPONSE</t>
  </si>
  <si>
    <t>SEND_TO_USER_RESPONSE</t>
  </si>
  <si>
    <t>{"update_id":488306746,
"message":{"message_id":45,"from":{"id":7752853740,"is_bot":false,"first_name":"Run","last_name":"Pipelines","username":"RunPipelines","language_code":"ru"},"chat":{"id":7752853740,"first_name":"Run","last_name":"Pipelines","username":"RunPipelines","type":"private"},"date":1781129463,"text":"test"}}</t>
  </si>
  <si>
    <t>{"update_id":488306747,
"message":{"message_id":46,"from":{"id":7752853740,"is_bot":false,"first_name":"Run","last_name":"Pipelines","username":"RunPipelines","language_code":"ru"},"chat":{"id":7752853740,"first_name":"Run","last_name":"Pipelines","username":"RunPipelines","type":"private"},"date":1781129653,"text":"test"}}</t>
  </si>
  <si>
    <t>{"update_id":488306748,
"message":{"message_id":47,"from":{"id":7752853740,"is_bot":false,"first_name":"Run","last_name":"Pipelines","username":"RunPipelines","language_code":"ru"},"chat":{"id":7752853740,"first_name":"Run","last_name":"Pipelines","username":"RunPipelines","type":"private"},"date":1781129766,"text":"/test","entities":[{"offset":0,"length":5,"type":"bot_command"}]}}</t>
  </si>
  <si>
    <t>{"update_id":488306749,
"message":{"message_id":48,"from":{"id":7752853740,"is_bot":false,"first_name":"Run","last_name":"Pipelines","username":"RunPipelines","language_code":"ru"},"chat":{"id":7752853740,"first_name":"Run","last_name":"Pipelines","username":"RunPipelines","type":"private"},"date":1781129900,"text":"test"}}</t>
  </si>
  <si>
    <t>{"update_id":488306750,
"message":{"message_id":49,"from":{"id":7752853740,"is_bot":false,"first_name":"Run","last_name":"Pipelines","username":"RunPipelines","language_code":"ru"},"chat":{"id":7752853740,"first_name":"Run","last_name":"Pipelines","username":"RunPipelines","type":"private"},"date":1781130286,"text":"test"}}</t>
  </si>
  <si>
    <t>{"update_id":488306751,
"message":{"message_id":50,"from":{"id":7752853740,"is_bot":false,"first_name":"Run","last_name":"Pipelines","username":"RunPipelines","language_code":"ru"},"chat":{"id":7752853740,"first_name":"Run","last_name":"Pipelines","username":"RunPipelines","type":"private"},"date":1781130320,"text":"/test","entities":[{"offset":0,"length":5,"type":"bot_command"}]}}</t>
  </si>
  <si>
    <t>{"update_id":488306752,
"message":{"message_id":52,"from":{"id":7752853740,"is_bot":false,"first_name":"Run","last_name":"Pipelines","username":"RunPipelines","language_code":"ru"},"chat":{"id":7752853740,"first_name":"Run","last_name":"Pipelines","username":"RunPipelines","type":"private"},"date":1781130595,"text":"test"}}</t>
  </si>
  <si>
    <t>{"update_id":488306753,
"message":{"message_id":69,"from":{"id":7752853740,"is_bot":false,"first_name":"Run","last_name":"Pipelines","username":"RunPipelines","language_code":"ru"},"chat":{"id":7752853740,"first_name":"Run","last_name":"Pipelines","username":"RunPipelines","type":"private"},"date":1781130677,"text":"test"}}</t>
  </si>
  <si>
    <t>DOPOST_ERROR</t>
  </si>
  <si>
    <t>ReferenceError: createRequestOptions is not defined</t>
  </si>
  <si>
    <t>PHONE_STEP</t>
  </si>
  <si>
    <t>phone=+3502452635165</t>
  </si>
  <si>
    <t>PHONE_SAVED</t>
  </si>
  <si>
    <t>SESSION_BEFORE_FINALIZE</t>
  </si>
  <si>
    <t>{"telegram_id":7752853740,"location_id":"loc_001","service_id":"serv_002","provider_id":"prov_003","option_count":1,"current_option_date":"2026-06-11T21:00:00.000Z","current_option_time":"1899-12-30T07:27:56.000Z","option1_date":"2026-06-11T21:00:00.000Z","option1_time":"1899-12-30T07:27:56.000Z","option2_date":"","option2_time":"","option3_date":"","option3_time":"","customer_name":"Анна","customer_phone":"+3502452635165","updated_at":"2026-06-12T19:44:59.612Z"}</t>
  </si>
  <si>
    <t>phone=+38055245256685</t>
  </si>
  <si>
    <t>{"telegram_id":7752853740,"location_id":"loc_001","service_id":"serv_002","provider_id":"prov_003","option_count":1,"current_option_date":"2026-06-12T21:00:00.000Z","current_option_time":"1899-12-30T07:27:56.000Z","option1_date":"2026-06-12T21:00:00.000Z","option1_time":"1899-12-30T07:27:56.000Z","option2_date":"","option2_time":"","option3_date":"","option3_time":"","customer_name":"Анна","customer_phone":"+38055245256685","updated_at":"2026-06-12T19:49:40.516Z"}</t>
  </si>
  <si>
    <t>REQUEST_CREATED_DEBUG</t>
  </si>
  <si>
    <t>req_1781293782259</t>
  </si>
  <si>
    <t>OWNER_NOTIFIED</t>
  </si>
  <si>
    <t>location_id</t>
  </si>
  <si>
    <t>service_id</t>
  </si>
  <si>
    <t>provider_id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</si>
  <si>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</si>
  <si>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</si>
  <si>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</si>
  <si>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</si>
  <si>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</si>
  <si>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</si>
  <si>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</si>
  <si>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</si>
  <si>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</si>
  <si>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customer_name</t>
  </si>
  <si>
    <t>customer_phone</t>
  </si>
  <si>
    <t>name_uk</t>
  </si>
  <si>
    <t>name_ru</t>
  </si>
  <si>
    <t>name_en</t>
  </si>
  <si>
    <t>min_duration</t>
  </si>
  <si>
    <t>max_duration</t>
  </si>
  <si>
    <t>price_from</t>
  </si>
  <si>
    <t>price_to</t>
  </si>
  <si>
    <t>active</t>
  </si>
  <si>
    <t>serv_001</t>
  </si>
  <si>
    <t>Манікюр</t>
  </si>
  <si>
    <t>Маникюр</t>
  </si>
  <si>
    <t>Manicure</t>
  </si>
  <si>
    <t>serv_002</t>
  </si>
  <si>
    <t>Фарбування</t>
  </si>
  <si>
    <t>Окрашивание</t>
  </si>
  <si>
    <t>Hair coloring</t>
  </si>
  <si>
    <t>request_id</t>
  </si>
  <si>
    <t>customer_id</t>
  </si>
  <si>
    <t>status</t>
  </si>
  <si>
    <t>created_at</t>
  </si>
  <si>
    <t>req_1781292699058</t>
  </si>
  <si>
    <t>cust_1781292698620</t>
  </si>
  <si>
    <t>prov_001</t>
  </si>
  <si>
    <t>loc_001</t>
  </si>
  <si>
    <t>pending</t>
  </si>
  <si>
    <t>req_1781293094142</t>
  </si>
  <si>
    <t>cust_1781293093501</t>
  </si>
  <si>
    <t>prov_003</t>
  </si>
  <si>
    <t>req_1781293501120</t>
  </si>
  <si>
    <t>cust_1781293500779</t>
  </si>
  <si>
    <t>cust_1781293781853</t>
  </si>
  <si>
    <t>confirmed</t>
  </si>
  <si>
    <t>option_id</t>
  </si>
  <si>
    <t>preferred_date</t>
  </si>
  <si>
    <t>preferred_time</t>
  </si>
  <si>
    <t>priority</t>
  </si>
  <si>
    <t>opt_1781285491078</t>
  </si>
  <si>
    <t>req_1781285490611</t>
  </si>
  <si>
    <t>opt_1781285491269</t>
  </si>
  <si>
    <t>opt_1781286005171</t>
  </si>
  <si>
    <t>req_1781286004965</t>
  </si>
  <si>
    <t>opt_1781286005299</t>
  </si>
  <si>
    <t>opt_1781286005498</t>
  </si>
  <si>
    <t>opt_1781286476343</t>
  </si>
  <si>
    <t>req_1781286476100</t>
  </si>
  <si>
    <t>opt_1781286476489</t>
  </si>
  <si>
    <t>opt_1781286476729</t>
  </si>
  <si>
    <t>opt_1781287290327</t>
  </si>
  <si>
    <t>req_1781287290026</t>
  </si>
  <si>
    <t>opt_1781287290502</t>
  </si>
  <si>
    <t>opt_1781287703776</t>
  </si>
  <si>
    <t>req_1781287703150</t>
  </si>
  <si>
    <t>opt_1781289975275</t>
  </si>
  <si>
    <t>req_1781289975075</t>
  </si>
  <si>
    <t>approved</t>
  </si>
  <si>
    <t>opt_1781290149204</t>
  </si>
  <si>
    <t>req_1781290148915</t>
  </si>
  <si>
    <t>rejected</t>
  </si>
  <si>
    <t>opt_1781293783659</t>
  </si>
  <si>
    <t>prov_002</t>
  </si>
  <si>
    <t>day_of_week</t>
  </si>
  <si>
    <t>start_time</t>
  </si>
  <si>
    <t>end_time</t>
  </si>
  <si>
    <t>monday</t>
  </si>
  <si>
    <t>tuesday</t>
  </si>
  <si>
    <t>phone</t>
  </si>
  <si>
    <t>Ганна</t>
  </si>
  <si>
    <t>Анна</t>
  </si>
  <si>
    <t>Ann</t>
  </si>
  <si>
    <t>loc_002</t>
  </si>
  <si>
    <t>Ольга</t>
  </si>
  <si>
    <t>Olga</t>
  </si>
  <si>
    <t>Марина</t>
  </si>
  <si>
    <t>Marina</t>
  </si>
  <si>
    <t>exception_id</t>
  </si>
  <si>
    <t>date_from</t>
  </si>
  <si>
    <t>date_to</t>
  </si>
  <si>
    <t>type</t>
  </si>
  <si>
    <t>exc_001</t>
  </si>
  <si>
    <t>vacation</t>
  </si>
  <si>
    <t>Отпуск</t>
  </si>
  <si>
    <t>exc_002</t>
  </si>
  <si>
    <t>sick_leave</t>
  </si>
  <si>
    <t>Больничный</t>
  </si>
  <si>
    <t>notification_id</t>
  </si>
  <si>
    <t>appointment_id</t>
  </si>
  <si>
    <t>send_at</t>
  </si>
  <si>
    <t>sent_at</t>
  </si>
  <si>
    <t>notif_001</t>
  </si>
  <si>
    <t>app_001</t>
  </si>
  <si>
    <t>day_before</t>
  </si>
  <si>
    <t>notif_002</t>
  </si>
  <si>
    <t>two_hours</t>
  </si>
  <si>
    <t>uk</t>
  </si>
  <si>
    <t>en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</si>
  <si>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</si>
  <si>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</si>
  <si>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</si>
  <si>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</si>
  <si>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</si>
  <si>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</si>
  <si>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</si>
  <si>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</si>
  <si>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</si>
  <si>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</si>
  <si>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</si>
  <si>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</si>
  <si>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</si>
  <si>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</si>
  <si>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</si>
  <si>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</si>
  <si>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</si>
  <si>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</si>
  <si>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</si>
  <si>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</si>
  <si>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</si>
  <si>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</si>
  <si>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</si>
  <si>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</si>
  <si>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</si>
  <si>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</si>
  <si>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</si>
  <si>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</si>
  <si>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</si>
  <si>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</si>
  <si>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</si>
  <si>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</si>
  <si>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</si>
  <si>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</si>
  <si>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</si>
  <si>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</si>
  <si>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</si>
  <si>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</si>
  <si>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</si>
  <si>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</si>
  <si>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</si>
  <si>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</si>
  <si>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</si>
  <si>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</si>
  <si>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</si>
  <si>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</si>
  <si>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</si>
  <si>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</si>
  <si>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</si>
  <si>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</si>
  <si>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</si>
  <si>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</si>
  <si>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ANY_PROVIDER</t>
  </si>
  <si>
    <t>Будь-який майстер</t>
  </si>
  <si>
    <t>Любой мастер</t>
  </si>
  <si>
    <t>Any provider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</si>
  <si>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</si>
  <si>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</si>
  <si>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</si>
  <si>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</si>
  <si>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</si>
  <si>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</si>
  <si>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</si>
  <si>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</si>
  <si>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</si>
  <si>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</si>
  <si>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</si>
  <si>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</si>
  <si>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</si>
  <si>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</si>
  <si>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</si>
  <si>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</si>
  <si>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</si>
  <si>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</si>
  <si>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</si>
  <si>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</si>
  <si>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</si>
  <si>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</si>
  <si>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</si>
  <si>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</si>
  <si>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</si>
  <si>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</si>
  <si>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</si>
  <si>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</si>
  <si>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</si>
  <si>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</si>
  <si>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</si>
  <si>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</si>
  <si>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</si>
  <si>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</si>
  <si>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</si>
  <si>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</si>
  <si>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</si>
  <si>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</si>
  <si>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</si>
  <si>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варіант?</t>
  </si>
  <si>
    <t>Добавить ещё один вариант?</t>
  </si>
  <si>
    <t>Add another option?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</si>
  <si>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</si>
  <si>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</si>
  <si>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</si>
  <si>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</si>
  <si>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</si>
  <si>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</si>
  <si>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</si>
  <si>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</si>
  <si>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</si>
  <si>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</si>
  <si>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</si>
  <si>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</si>
  <si>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</si>
  <si>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</si>
  <si>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</si>
  <si>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</si>
  <si>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</si>
  <si>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 (+38...)</t>
  </si>
  <si>
    <t>Введите ваш телефон (+38...)</t>
  </si>
  <si>
    <t>Enter your phone number (+1...)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</si>
  <si>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</si>
  <si>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</si>
  <si>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</si>
  <si>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</si>
  <si>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</si>
  <si>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</si>
  <si>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</si>
  <si>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</si>
  <si>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</si>
  <si>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Нова заявка</t>
  </si>
  <si>
    <t>Новая заявка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</si>
  <si>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</si>
  <si>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</si>
  <si>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</si>
  <si>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</si>
  <si>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</si>
  <si>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</si>
  <si>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</si>
  <si>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</si>
  <si>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</si>
  <si>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</si>
  <si>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</si>
  <si>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</si>
  <si>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</si>
  <si>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</si>
  <si>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</si>
  <si>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</si>
  <si>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</si>
  <si>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</si>
  <si>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</si>
  <si>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</si>
  <si>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</si>
  <si>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</si>
  <si>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</si>
  <si>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</si>
  <si>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</si>
  <si>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</si>
  <si>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</si>
  <si>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</si>
  <si>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</si>
  <si>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</si>
  <si>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</si>
  <si>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</si>
  <si>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</si>
  <si>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</si>
  <si>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</si>
  <si>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</si>
  <si>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</si>
  <si>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</si>
  <si>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</si>
  <si>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</si>
  <si>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</si>
  <si>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</si>
  <si>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</si>
  <si>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</si>
  <si>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</si>
  <si>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</si>
  <si>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</si>
  <si>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</si>
  <si>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</t>
  </si>
  <si>
    <t>К сожалению, заявка отклонена</t>
  </si>
  <si>
    <t>Unfortunately, your request was rejected</t>
  </si>
  <si>
    <t>address</t>
  </si>
  <si>
    <t>Центр</t>
  </si>
  <si>
    <t>Center</t>
  </si>
  <si>
    <t>Днепр</t>
  </si>
  <si>
    <t>Лівий берег</t>
  </si>
  <si>
    <t>Левый берег</t>
  </si>
  <si>
    <t>Left Bank</t>
  </si>
  <si>
    <t>name</t>
  </si>
  <si>
    <t>language</t>
  </si>
  <si>
    <t>last_visit_at</t>
  </si>
  <si>
    <t>notes</t>
  </si>
  <si>
    <t>cust_1781289974856</t>
  </si>
  <si>
    <t>Аня</t>
  </si>
  <si>
    <t>cust_1781290148629</t>
  </si>
  <si>
    <t>Вика</t>
  </si>
  <si>
    <t>lead</t>
  </si>
  <si>
    <t>Света</t>
  </si>
  <si>
    <t>start_at</t>
  </si>
  <si>
    <t>end_at</t>
  </si>
  <si>
    <t>calendar_event_id</t>
  </si>
  <si>
    <t>appt_1781293819707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</si>
</sst>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 h:mm:ss"/>
    <numFmt numFmtId="165" formatCode="yyyy-mm-dd"/>
    <numFmt numFmtId="166" formatCode="yyyy-mm-dd h:mm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b/>
      <color theme="1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165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4" numFmtId="0" xfId="0" applyAlignment="1" applyFont="1">
      <alignment horizontal="center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5" numFmtId="20" xfId="0" applyAlignment="1" applyFont="1" applyNumberFormat="1">
      <alignment horizontal="right" vertical="bottom"/>
    </xf>
    <xf borderId="0" fillId="0" fontId="1" numFmtId="0" xfId="0" applyAlignment="1" applyFont="1">
      <alignment readingOrder="0"/>
    </xf>
    <xf borderId="0" fillId="0" fontId="5" numFmtId="0" xfId="0" applyAlignment="1" applyFont="1">
      <alignment readingOrder="0" vertical="bottom"/>
    </xf>
    <xf borderId="0" fillId="0" fontId="5" numFmtId="165" xfId="0" applyAlignment="1" applyFont="1" applyNumberFormat="1">
      <alignment horizontal="right" vertical="bottom"/>
    </xf>
    <xf borderId="0" fillId="0" fontId="5" numFmtId="166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5" numFmtId="166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xtu0SbRTctUotAo7xz9YDXntkW6bG4CZOoJDj06ruIlZJ02FeqdUl93UNR1_4FwnF6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4</v>
      </c>
      <c r="C2" s="2" t="s">
        <v>5</v>
      </c>
    </row>
    <row r="3">
      <c r="A3" s="2" t="s">
        <v>6</v>
      </c>
      <c r="B3" s="2" t="s">
        <v>7</v>
      </c>
      <c r="C3" s="2" t="s">
        <v>8</v>
      </c>
    </row>
    <row r="4">
      <c r="A4" s="2" t="s">
        <v>9</v>
      </c>
      <c r="B4" s="2" t="s">
        <v>10</v>
      </c>
      <c r="C4" s="2" t="s">
        <v>11</v>
      </c>
    </row>
    <row r="5">
      <c r="A5" s="2" t="s">
        <v>12</v>
      </c>
      <c r="B5" s="2" t="s">
        <v>13</v>
      </c>
      <c r="C5" s="2" t="s">
        <v>14</v>
      </c>
    </row>
    <row r="6">
      <c r="A6" s="2" t="s">
        <v>15</v>
      </c>
      <c r="B6" s="2" t="s">
        <v>16</v>
      </c>
      <c r="C6" s="2" t="s">
        <v>17</v>
      </c>
    </row>
    <row r="7">
      <c r="A7" s="2" t="s">
        <v>18</v>
      </c>
      <c r="B7" s="2" t="s">
        <v>19</v>
      </c>
      <c r="C7" s="2" t="s">
        <v>17</v>
      </c>
    </row>
    <row r="8">
      <c r="A8" s="2" t="s">
        <v>20</v>
      </c>
      <c r="B8" s="2">
        <v>7.26107007E8</v>
      </c>
      <c r="C8" s="2" t="s">
        <v>21</v>
      </c>
    </row>
    <row r="9">
      <c r="A9" s="2" t="s">
        <v>22</v>
      </c>
      <c r="B9" s="2" t="s">
        <v>19</v>
      </c>
      <c r="C9" s="2" t="s">
        <v>17</v>
      </c>
    </row>
    <row r="10">
      <c r="A10" s="2" t="s">
        <v>23</v>
      </c>
      <c r="B10" s="2" t="b">
        <v>1</v>
      </c>
    </row>
    <row r="11">
      <c r="A11" s="2" t="s">
        <v>24</v>
      </c>
      <c r="B11" s="2" t="b">
        <v>1</v>
      </c>
    </row>
    <row r="12">
      <c r="A12" s="2" t="s">
        <v>25</v>
      </c>
      <c r="B12" s="2" t="b">
        <v>0</v>
      </c>
    </row>
    <row r="13">
      <c r="A13" s="2" t="s">
        <v>26</v>
      </c>
      <c r="B13" s="3" t="s">
        <v>27</v>
      </c>
    </row>
    <row r="15">
      <c r="B15" s="4"/>
    </row>
  </sheetData>
  <hyperlinks>
    <hyperlink r:id="rId1" ref="B1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28</v>
      </c>
      <c r="B1" s="1" t="s">
        <v>29</v>
      </c>
      <c r="C1" s="1" t="s">
        <v>30</v>
      </c>
    </row>
    <row r="2">
      <c r="A2" s="5">
        <v>7.75285374E9</v>
      </c>
      <c r="B2" s="2"/>
      <c r="C2" s="6">
        <v>46185.951275659725</v>
      </c>
    </row>
    <row r="3">
      <c r="C3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31</v>
      </c>
      <c r="B1" s="1" t="s">
        <v>32</v>
      </c>
      <c r="C1" s="1" t="s">
        <v>33</v>
      </c>
      <c r="D1" s="1" t="s">
        <v>34</v>
      </c>
    </row>
    <row r="2">
      <c r="A2" s="6">
        <v>46184.062834641205</v>
      </c>
      <c r="B2" s="2" t="s">
        <v>35</v>
      </c>
      <c r="C2" s="2" t="s">
        <v>36</v>
      </c>
    </row>
    <row r="3">
      <c r="A3" s="6">
        <v>46184.062838032405</v>
      </c>
      <c r="B3" s="2" t="s">
        <v>37</v>
      </c>
      <c r="C3" s="2" t="s">
        <v>38</v>
      </c>
    </row>
    <row r="4">
      <c r="A4" s="6">
        <v>46184.062845821754</v>
      </c>
      <c r="B4" s="2" t="s">
        <v>39</v>
      </c>
      <c r="C4" s="2" t="s">
        <v>40</v>
      </c>
    </row>
    <row r="5">
      <c r="A5" s="6">
        <v>46184.06284782407</v>
      </c>
      <c r="B5" s="2" t="s">
        <v>41</v>
      </c>
      <c r="C5" s="2">
        <v>7.75285374E9</v>
      </c>
    </row>
    <row r="6">
      <c r="A6" s="6">
        <v>46184.062851689814</v>
      </c>
      <c r="B6" s="2" t="s">
        <v>42</v>
      </c>
    </row>
    <row r="7">
      <c r="A7" s="6">
        <v>46184.06285528935</v>
      </c>
      <c r="B7" s="2" t="s">
        <v>43</v>
      </c>
    </row>
    <row r="8">
      <c r="A8" s="6">
        <v>46184.0628725</v>
      </c>
      <c r="B8" s="2" t="s">
        <v>35</v>
      </c>
      <c r="C8" s="2" t="s">
        <v>36</v>
      </c>
    </row>
    <row r="9">
      <c r="A9" s="6">
        <v>46184.06287454861</v>
      </c>
      <c r="B9" s="2" t="s">
        <v>37</v>
      </c>
      <c r="C9" s="2" t="s">
        <v>44</v>
      </c>
    </row>
    <row r="10">
      <c r="A10" s="6">
        <v>46184.06287892361</v>
      </c>
      <c r="B10" s="2" t="s">
        <v>39</v>
      </c>
      <c r="C10" s="2" t="s">
        <v>40</v>
      </c>
    </row>
    <row r="11">
      <c r="A11" s="6">
        <v>46184.06288090278</v>
      </c>
      <c r="B11" s="2" t="s">
        <v>41</v>
      </c>
      <c r="C11" s="2">
        <v>7.75285374E9</v>
      </c>
    </row>
    <row r="12">
      <c r="A12" s="6">
        <v>46184.06288592593</v>
      </c>
      <c r="B12" s="2" t="s">
        <v>42</v>
      </c>
    </row>
    <row r="13">
      <c r="A13" s="6">
        <v>46184.06289001157</v>
      </c>
      <c r="B13" s="2" t="s">
        <v>43</v>
      </c>
    </row>
    <row r="14">
      <c r="A14" s="6">
        <v>46184.06300329861</v>
      </c>
      <c r="B14" s="2" t="s">
        <v>35</v>
      </c>
      <c r="C14" s="2" t="s">
        <v>36</v>
      </c>
    </row>
    <row r="15">
      <c r="A15" s="6">
        <v>46184.063011087965</v>
      </c>
      <c r="B15" s="2" t="s">
        <v>37</v>
      </c>
      <c r="C15" s="2" t="s">
        <v>45</v>
      </c>
    </row>
    <row r="16">
      <c r="A16" s="6">
        <v>46184.063023599534</v>
      </c>
      <c r="B16" s="2" t="s">
        <v>39</v>
      </c>
      <c r="C16" s="2" t="s">
        <v>40</v>
      </c>
    </row>
    <row r="17">
      <c r="A17" s="6">
        <v>46184.063026689815</v>
      </c>
      <c r="B17" s="2" t="s">
        <v>41</v>
      </c>
      <c r="C17" s="2">
        <v>7.75285374E9</v>
      </c>
    </row>
    <row r="18">
      <c r="A18" s="6">
        <v>46184.06303276621</v>
      </c>
      <c r="B18" s="2" t="s">
        <v>42</v>
      </c>
    </row>
    <row r="19">
      <c r="A19" s="6">
        <v>46184.063038935186</v>
      </c>
      <c r="B19" s="2" t="s">
        <v>43</v>
      </c>
    </row>
    <row r="20">
      <c r="A20" s="6">
        <v>46184.063061493056</v>
      </c>
      <c r="B20" s="2" t="s">
        <v>35</v>
      </c>
      <c r="C20" s="2" t="s">
        <v>36</v>
      </c>
    </row>
    <row r="21">
      <c r="A21" s="6">
        <v>46184.06306418982</v>
      </c>
      <c r="B21" s="2" t="s">
        <v>37</v>
      </c>
      <c r="C21" s="2" t="s">
        <v>46</v>
      </c>
    </row>
    <row r="22">
      <c r="A22" s="6">
        <v>46184.06306945602</v>
      </c>
      <c r="B22" s="2" t="s">
        <v>39</v>
      </c>
      <c r="C22" s="2" t="s">
        <v>40</v>
      </c>
    </row>
    <row r="23">
      <c r="A23" s="6">
        <v>46184.063072523146</v>
      </c>
      <c r="B23" s="2" t="s">
        <v>41</v>
      </c>
      <c r="C23" s="2">
        <v>7.75285374E9</v>
      </c>
    </row>
    <row r="24">
      <c r="A24" s="6">
        <v>46184.06307773148</v>
      </c>
      <c r="B24" s="2" t="s">
        <v>42</v>
      </c>
    </row>
    <row r="25">
      <c r="A25" s="6">
        <v>46184.063082569446</v>
      </c>
      <c r="B25" s="2" t="s">
        <v>43</v>
      </c>
    </row>
    <row r="26">
      <c r="A26" s="6">
        <v>46184.06309688657</v>
      </c>
      <c r="B26" s="2" t="s">
        <v>35</v>
      </c>
      <c r="C26" s="2" t="s">
        <v>36</v>
      </c>
    </row>
    <row r="27">
      <c r="A27" s="6">
        <v>46184.06309922454</v>
      </c>
      <c r="B27" s="2" t="s">
        <v>37</v>
      </c>
      <c r="C27" s="2" t="s">
        <v>47</v>
      </c>
    </row>
    <row r="28">
      <c r="A28" s="6">
        <v>46184.063104050925</v>
      </c>
      <c r="B28" s="2" t="s">
        <v>39</v>
      </c>
      <c r="C28" s="2" t="s">
        <v>40</v>
      </c>
    </row>
    <row r="29">
      <c r="A29" s="6">
        <v>46184.063106828704</v>
      </c>
      <c r="B29" s="2" t="s">
        <v>41</v>
      </c>
      <c r="C29" s="2">
        <v>7.75285374E9</v>
      </c>
    </row>
    <row r="30">
      <c r="A30" s="6">
        <v>46184.063111678246</v>
      </c>
      <c r="B30" s="2" t="s">
        <v>42</v>
      </c>
    </row>
    <row r="31">
      <c r="A31" s="6">
        <v>46184.06311567129</v>
      </c>
      <c r="B31" s="2" t="s">
        <v>43</v>
      </c>
    </row>
    <row r="32">
      <c r="A32" s="6">
        <v>46184.06313052084</v>
      </c>
      <c r="B32" s="2" t="s">
        <v>35</v>
      </c>
      <c r="C32" s="2" t="s">
        <v>36</v>
      </c>
    </row>
    <row r="33">
      <c r="A33" s="6">
        <v>46184.06313314815</v>
      </c>
      <c r="B33" s="2" t="s">
        <v>37</v>
      </c>
      <c r="C33" s="2" t="s">
        <v>48</v>
      </c>
    </row>
    <row r="34">
      <c r="A34" s="6">
        <v>46184.06313862269</v>
      </c>
      <c r="B34" s="2" t="s">
        <v>39</v>
      </c>
      <c r="C34" s="2" t="s">
        <v>40</v>
      </c>
    </row>
    <row r="35">
      <c r="A35" s="6">
        <v>46184.06314118055</v>
      </c>
      <c r="B35" s="2" t="s">
        <v>41</v>
      </c>
      <c r="C35" s="2">
        <v>7.75285374E9</v>
      </c>
    </row>
    <row r="36">
      <c r="A36" s="6">
        <v>46184.06314576389</v>
      </c>
      <c r="B36" s="2" t="s">
        <v>42</v>
      </c>
    </row>
    <row r="37">
      <c r="A37" s="6">
        <v>46184.06315028935</v>
      </c>
      <c r="B37" s="2" t="s">
        <v>43</v>
      </c>
    </row>
    <row r="38">
      <c r="A38" s="6">
        <v>46184.06316583333</v>
      </c>
      <c r="B38" s="2" t="s">
        <v>35</v>
      </c>
      <c r="C38" s="2" t="s">
        <v>36</v>
      </c>
    </row>
    <row r="39">
      <c r="A39" s="6">
        <v>46184.06316777778</v>
      </c>
      <c r="B39" s="2" t="s">
        <v>37</v>
      </c>
      <c r="C39" s="2" t="s">
        <v>49</v>
      </c>
    </row>
    <row r="40">
      <c r="A40" s="6">
        <v>46184.06317201389</v>
      </c>
      <c r="B40" s="2" t="s">
        <v>39</v>
      </c>
      <c r="C40" s="2" t="s">
        <v>40</v>
      </c>
    </row>
    <row r="41">
      <c r="A41" s="6">
        <v>46184.06317864583</v>
      </c>
      <c r="B41" s="2" t="s">
        <v>41</v>
      </c>
      <c r="C41" s="2">
        <v>7.75285374E9</v>
      </c>
    </row>
    <row r="42">
      <c r="A42" s="6">
        <v>46184.06318341436</v>
      </c>
      <c r="B42" s="2" t="s">
        <v>42</v>
      </c>
    </row>
    <row r="43">
      <c r="A43" s="6">
        <v>46184.063187395834</v>
      </c>
      <c r="B43" s="2" t="s">
        <v>43</v>
      </c>
    </row>
    <row r="44">
      <c r="A44" s="6">
        <v>46184.06321230324</v>
      </c>
      <c r="B44" s="2" t="s">
        <v>35</v>
      </c>
      <c r="C44" s="2" t="s">
        <v>36</v>
      </c>
    </row>
    <row r="45">
      <c r="A45" s="6">
        <v>46184.0632146412</v>
      </c>
      <c r="B45" s="2" t="s">
        <v>37</v>
      </c>
      <c r="C45" s="2" t="s">
        <v>50</v>
      </c>
    </row>
    <row r="46">
      <c r="A46" s="6">
        <v>46184.0632199074</v>
      </c>
      <c r="B46" s="2" t="s">
        <v>39</v>
      </c>
      <c r="C46" s="2" t="s">
        <v>40</v>
      </c>
    </row>
    <row r="47">
      <c r="A47" s="6">
        <v>46184.06322258102</v>
      </c>
      <c r="B47" s="2" t="s">
        <v>41</v>
      </c>
      <c r="C47" s="2">
        <v>7.75285374E9</v>
      </c>
    </row>
    <row r="48">
      <c r="A48" s="6">
        <v>46184.063226886574</v>
      </c>
      <c r="B48" s="2" t="s">
        <v>42</v>
      </c>
    </row>
    <row r="49">
      <c r="A49" s="6">
        <v>46184.0632308912</v>
      </c>
      <c r="B49" s="2" t="s">
        <v>43</v>
      </c>
    </row>
    <row r="50">
      <c r="A50" s="6">
        <v>46184.063420729166</v>
      </c>
      <c r="B50" s="2" t="s">
        <v>35</v>
      </c>
      <c r="C50" s="2" t="s">
        <v>36</v>
      </c>
    </row>
    <row r="51">
      <c r="A51" s="6">
        <v>46184.063431435185</v>
      </c>
      <c r="B51" s="2" t="s">
        <v>37</v>
      </c>
      <c r="C51" s="2" t="s">
        <v>51</v>
      </c>
    </row>
    <row r="52">
      <c r="A52" s="6">
        <v>46184.06344136574</v>
      </c>
      <c r="B52" s="2" t="s">
        <v>39</v>
      </c>
      <c r="C52" s="2" t="s">
        <v>40</v>
      </c>
    </row>
    <row r="53">
      <c r="A53" s="6">
        <v>46184.063448553236</v>
      </c>
      <c r="B53" s="2" t="s">
        <v>41</v>
      </c>
      <c r="C53" s="2">
        <v>7.75285374E9</v>
      </c>
    </row>
    <row r="54">
      <c r="A54" s="6">
        <v>46184.06345524306</v>
      </c>
      <c r="B54" s="2" t="s">
        <v>42</v>
      </c>
    </row>
    <row r="55">
      <c r="A55" s="6">
        <v>46184.06346207176</v>
      </c>
      <c r="B55" s="2" t="s">
        <v>43</v>
      </c>
    </row>
    <row r="56">
      <c r="A56" s="6">
        <v>46184.06521584491</v>
      </c>
      <c r="B56" s="2" t="s">
        <v>35</v>
      </c>
      <c r="C56" s="2" t="s">
        <v>36</v>
      </c>
    </row>
    <row r="57">
      <c r="A57" s="6">
        <v>46184.06534123843</v>
      </c>
      <c r="B57" s="2" t="s">
        <v>35</v>
      </c>
      <c r="C57" s="2" t="s">
        <v>36</v>
      </c>
    </row>
    <row r="58">
      <c r="A58" s="6">
        <v>46184.40455040509</v>
      </c>
      <c r="B58" s="2" t="s">
        <v>35</v>
      </c>
      <c r="C58" s="2" t="s">
        <v>36</v>
      </c>
    </row>
    <row r="59">
      <c r="A59" s="6">
        <v>46184.40464099537</v>
      </c>
      <c r="B59" s="2" t="s">
        <v>35</v>
      </c>
      <c r="C59" s="2" t="s">
        <v>36</v>
      </c>
    </row>
    <row r="60">
      <c r="A60" s="6">
        <v>46184.40471289352</v>
      </c>
      <c r="B60" s="2" t="s">
        <v>35</v>
      </c>
      <c r="C60" s="2" t="s">
        <v>36</v>
      </c>
    </row>
    <row r="61">
      <c r="A61" s="6">
        <v>46184.40481731482</v>
      </c>
      <c r="B61" s="2" t="s">
        <v>35</v>
      </c>
      <c r="C61" s="2" t="s">
        <v>36</v>
      </c>
    </row>
    <row r="62">
      <c r="A62" s="6">
        <v>46184.414640532406</v>
      </c>
      <c r="B62" s="2" t="s">
        <v>35</v>
      </c>
      <c r="C62" s="2" t="s">
        <v>36</v>
      </c>
    </row>
    <row r="63">
      <c r="A63" s="6">
        <v>46184.414743483794</v>
      </c>
      <c r="B63" s="2" t="s">
        <v>35</v>
      </c>
      <c r="C63" s="2" t="s">
        <v>36</v>
      </c>
    </row>
    <row r="64">
      <c r="A64" s="6">
        <v>46184.414803113425</v>
      </c>
      <c r="B64" s="2" t="s">
        <v>35</v>
      </c>
      <c r="C64" s="2" t="s">
        <v>36</v>
      </c>
    </row>
    <row r="65">
      <c r="A65" s="6">
        <v>46184.41697719907</v>
      </c>
      <c r="B65" s="2" t="s">
        <v>35</v>
      </c>
      <c r="C65" s="2" t="s">
        <v>36</v>
      </c>
    </row>
    <row r="66">
      <c r="A66" s="6">
        <v>46184.41712943287</v>
      </c>
      <c r="B66" s="2" t="s">
        <v>35</v>
      </c>
      <c r="C66" s="2" t="s">
        <v>36</v>
      </c>
    </row>
    <row r="67">
      <c r="A67" s="6">
        <v>46184.417209189814</v>
      </c>
      <c r="B67" s="2" t="s">
        <v>35</v>
      </c>
      <c r="C67" s="2" t="s">
        <v>36</v>
      </c>
    </row>
    <row r="68">
      <c r="A68" s="6">
        <v>46184.42106340278</v>
      </c>
      <c r="B68" s="2" t="s">
        <v>35</v>
      </c>
      <c r="C68" s="2" t="s">
        <v>36</v>
      </c>
    </row>
    <row r="69">
      <c r="A69" s="6">
        <v>46184.42115165509</v>
      </c>
      <c r="B69" s="2" t="s">
        <v>35</v>
      </c>
      <c r="C69" s="2" t="s">
        <v>36</v>
      </c>
    </row>
    <row r="70">
      <c r="A70" s="6">
        <v>46184.42121688658</v>
      </c>
      <c r="B70" s="2" t="s">
        <v>35</v>
      </c>
      <c r="C70" s="2" t="s">
        <v>36</v>
      </c>
    </row>
    <row r="71">
      <c r="A71" s="6">
        <v>46185.938648738425</v>
      </c>
      <c r="B71" s="2" t="s">
        <v>52</v>
      </c>
      <c r="C71" s="2" t="s">
        <v>53</v>
      </c>
    </row>
    <row r="72">
      <c r="A72" s="6">
        <v>46185.943222789356</v>
      </c>
      <c r="B72" s="2" t="s">
        <v>52</v>
      </c>
      <c r="C72" s="2" t="s">
        <v>53</v>
      </c>
    </row>
    <row r="73">
      <c r="A73" s="6">
        <v>46185.947906875</v>
      </c>
      <c r="B73" s="2" t="s">
        <v>54</v>
      </c>
      <c r="C73" s="2" t="s">
        <v>55</v>
      </c>
    </row>
    <row r="74">
      <c r="A74" s="6">
        <v>46185.94791225695</v>
      </c>
      <c r="B74" s="2" t="s">
        <v>56</v>
      </c>
      <c r="C74" s="7">
        <v>3502452635165</v>
      </c>
    </row>
    <row r="75">
      <c r="A75" s="6">
        <v>46185.94791965278</v>
      </c>
      <c r="B75" s="2" t="s">
        <v>57</v>
      </c>
      <c r="C75" s="2" t="s">
        <v>58</v>
      </c>
    </row>
    <row r="76">
      <c r="A76" s="6">
        <v>46185.94793200232</v>
      </c>
      <c r="B76" s="2" t="s">
        <v>52</v>
      </c>
      <c r="C76" s="2" t="s">
        <v>53</v>
      </c>
    </row>
    <row r="77">
      <c r="A77" s="6">
        <v>46185.951158888885</v>
      </c>
      <c r="B77" s="2" t="s">
        <v>54</v>
      </c>
      <c r="C77" s="2" t="s">
        <v>59</v>
      </c>
    </row>
    <row r="78">
      <c r="A78" s="6">
        <v>46185.95116344908</v>
      </c>
      <c r="B78" s="2" t="s">
        <v>56</v>
      </c>
      <c r="C78" s="7">
        <v>38055245256685</v>
      </c>
    </row>
    <row r="79">
      <c r="A79" s="6">
        <v>46185.951173043984</v>
      </c>
      <c r="B79" s="2" t="s">
        <v>57</v>
      </c>
      <c r="C79" s="2" t="s">
        <v>60</v>
      </c>
    </row>
    <row r="80">
      <c r="A80" s="6">
        <v>46185.95120231481</v>
      </c>
      <c r="B80" s="2" t="s">
        <v>61</v>
      </c>
      <c r="C80" s="2" t="s">
        <v>62</v>
      </c>
    </row>
    <row r="81">
      <c r="A81" s="6">
        <v>46185.95125975694</v>
      </c>
      <c r="B81" s="2" t="s">
        <v>63</v>
      </c>
      <c r="C81" s="2" t="s">
        <v>62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0.38"/>
    <col customWidth="1" min="7" max="7" width="21.63"/>
    <col customWidth="1" min="15" max="16" width="16.0"/>
  </cols>
  <sheetData>
    <row r="1">
      <c r="A1" s="2" t="s">
        <v>28</v>
      </c>
      <c r="B1" s="2" t="s">
        <v>64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  <c r="N1" s="2" t="s">
        <v>76</v>
      </c>
      <c r="O1" s="2" t="s">
        <v>77</v>
      </c>
      <c r="P1" s="2" t="s">
        <v>30</v>
      </c>
    </row>
    <row r="2">
      <c r="A2" s="5">
        <v>7.75285374E9</v>
      </c>
      <c r="B2" s="2"/>
      <c r="C2" s="2"/>
      <c r="D2" s="2"/>
      <c r="E2" s="5"/>
      <c r="F2" s="8"/>
      <c r="G2" s="9"/>
      <c r="H2" s="10"/>
      <c r="I2" s="9"/>
      <c r="J2" s="10"/>
      <c r="K2" s="9"/>
      <c r="L2" s="10"/>
      <c r="M2" s="9"/>
      <c r="N2" s="2"/>
      <c r="O2" s="2"/>
      <c r="P2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65</v>
      </c>
      <c r="B1" s="11" t="s">
        <v>78</v>
      </c>
      <c r="C1" s="11" t="s">
        <v>79</v>
      </c>
      <c r="D1" s="11" t="s">
        <v>80</v>
      </c>
      <c r="E1" s="11" t="s">
        <v>81</v>
      </c>
      <c r="F1" s="11" t="s">
        <v>82</v>
      </c>
      <c r="G1" s="11" t="s">
        <v>83</v>
      </c>
      <c r="H1" s="11" t="s">
        <v>84</v>
      </c>
      <c r="I1" s="11" t="s">
        <v>85</v>
      </c>
    </row>
    <row r="2">
      <c r="A2" s="12" t="s">
        <v>86</v>
      </c>
      <c r="B2" s="12" t="s">
        <v>87</v>
      </c>
      <c r="C2" s="12" t="s">
        <v>88</v>
      </c>
      <c r="D2" s="12" t="s">
        <v>89</v>
      </c>
      <c r="E2" s="13">
        <v>60.0</v>
      </c>
      <c r="F2" s="13">
        <v>90.0</v>
      </c>
      <c r="G2" s="13">
        <v>500.0</v>
      </c>
      <c r="H2" s="13">
        <v>700.0</v>
      </c>
      <c r="I2" s="14" t="b">
        <v>1</v>
      </c>
    </row>
    <row r="3">
      <c r="A3" s="12" t="s">
        <v>90</v>
      </c>
      <c r="B3" s="12" t="s">
        <v>91</v>
      </c>
      <c r="C3" s="12" t="s">
        <v>92</v>
      </c>
      <c r="D3" s="12" t="s">
        <v>93</v>
      </c>
      <c r="E3" s="13">
        <v>180.0</v>
      </c>
      <c r="F3" s="13">
        <v>300.0</v>
      </c>
      <c r="G3" s="13">
        <v>1500.0</v>
      </c>
      <c r="H3" s="13">
        <v>3000.0</v>
      </c>
      <c r="I3" s="14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1" t="s">
        <v>94</v>
      </c>
      <c r="B1" s="11" t="s">
        <v>95</v>
      </c>
      <c r="C1" s="11" t="s">
        <v>65</v>
      </c>
      <c r="D1" s="11" t="s">
        <v>66</v>
      </c>
      <c r="E1" s="11" t="s">
        <v>64</v>
      </c>
      <c r="F1" s="11" t="s">
        <v>96</v>
      </c>
      <c r="G1" s="11" t="s">
        <v>97</v>
      </c>
    </row>
    <row r="2">
      <c r="A2" s="2" t="s">
        <v>98</v>
      </c>
      <c r="B2" s="2" t="s">
        <v>99</v>
      </c>
      <c r="C2" s="2" t="s">
        <v>90</v>
      </c>
      <c r="D2" s="2" t="s">
        <v>100</v>
      </c>
      <c r="E2" s="2" t="s">
        <v>101</v>
      </c>
      <c r="F2" s="2" t="s">
        <v>102</v>
      </c>
      <c r="G2" s="6">
        <v>46185.93864650463</v>
      </c>
    </row>
    <row r="3">
      <c r="A3" s="2" t="s">
        <v>103</v>
      </c>
      <c r="B3" s="2" t="s">
        <v>104</v>
      </c>
      <c r="C3" s="2" t="s">
        <v>90</v>
      </c>
      <c r="D3" s="2" t="s">
        <v>105</v>
      </c>
      <c r="E3" s="2" t="s">
        <v>101</v>
      </c>
      <c r="F3" s="2" t="s">
        <v>102</v>
      </c>
      <c r="G3" s="6">
        <v>46185.94321923611</v>
      </c>
    </row>
    <row r="4">
      <c r="A4" s="2" t="s">
        <v>106</v>
      </c>
      <c r="B4" s="2" t="s">
        <v>107</v>
      </c>
      <c r="C4" s="2" t="s">
        <v>90</v>
      </c>
      <c r="D4" s="2" t="s">
        <v>105</v>
      </c>
      <c r="E4" s="2" t="s">
        <v>101</v>
      </c>
      <c r="F4" s="2" t="s">
        <v>102</v>
      </c>
      <c r="G4" s="6">
        <v>46185.947929629634</v>
      </c>
    </row>
    <row r="5">
      <c r="A5" s="2" t="s">
        <v>62</v>
      </c>
      <c r="B5" s="2" t="s">
        <v>108</v>
      </c>
      <c r="C5" s="2" t="s">
        <v>90</v>
      </c>
      <c r="D5" s="2" t="s">
        <v>105</v>
      </c>
      <c r="E5" s="2" t="s">
        <v>101</v>
      </c>
      <c r="F5" s="2" t="s">
        <v>109</v>
      </c>
      <c r="G5" s="6">
        <v>46185.95118355324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110</v>
      </c>
      <c r="B1" s="2" t="s">
        <v>94</v>
      </c>
      <c r="C1" s="2" t="s">
        <v>111</v>
      </c>
      <c r="D1" s="2" t="s">
        <v>112</v>
      </c>
      <c r="E1" s="2" t="s">
        <v>113</v>
      </c>
      <c r="F1" s="2" t="s">
        <v>96</v>
      </c>
      <c r="G1" s="2" t="s">
        <v>97</v>
      </c>
    </row>
    <row r="2">
      <c r="A2" s="2" t="s">
        <v>114</v>
      </c>
      <c r="B2" s="2" t="s">
        <v>115</v>
      </c>
      <c r="C2" s="10">
        <v>46186.0</v>
      </c>
      <c r="D2" s="15">
        <v>0.3527314814818965</v>
      </c>
      <c r="E2" s="5">
        <v>1.0</v>
      </c>
      <c r="F2" s="2" t="s">
        <v>102</v>
      </c>
      <c r="G2" s="6">
        <v>46185.85522081019</v>
      </c>
    </row>
    <row r="3">
      <c r="A3" s="2" t="s">
        <v>116</v>
      </c>
      <c r="B3" s="2" t="s">
        <v>115</v>
      </c>
      <c r="C3" s="10">
        <v>46185.0</v>
      </c>
      <c r="D3" s="15">
        <v>0.7693981481497758</v>
      </c>
      <c r="E3" s="5">
        <v>2.0</v>
      </c>
      <c r="F3" s="2" t="s">
        <v>102</v>
      </c>
      <c r="G3" s="6">
        <v>46185.85522081019</v>
      </c>
    </row>
    <row r="4">
      <c r="A4" s="2" t="s">
        <v>117</v>
      </c>
      <c r="B4" s="2" t="s">
        <v>118</v>
      </c>
      <c r="C4" s="10">
        <v>46186.0</v>
      </c>
      <c r="D4" s="15">
        <v>0.3527314814818965</v>
      </c>
      <c r="E4" s="5">
        <v>1.0</v>
      </c>
      <c r="F4" s="2" t="s">
        <v>102</v>
      </c>
      <c r="G4" s="6">
        <v>46185.86117096065</v>
      </c>
    </row>
    <row r="5">
      <c r="A5" s="2" t="s">
        <v>119</v>
      </c>
      <c r="B5" s="2" t="s">
        <v>118</v>
      </c>
      <c r="C5" s="10">
        <v>46187.0</v>
      </c>
      <c r="D5" s="15">
        <v>0.5193981481497758</v>
      </c>
      <c r="E5" s="5">
        <v>2.0</v>
      </c>
      <c r="F5" s="2" t="s">
        <v>102</v>
      </c>
      <c r="G5" s="6">
        <v>46185.86117096065</v>
      </c>
    </row>
    <row r="6">
      <c r="A6" s="2" t="s">
        <v>120</v>
      </c>
      <c r="B6" s="2" t="s">
        <v>118</v>
      </c>
      <c r="C6" s="10">
        <v>46185.0</v>
      </c>
      <c r="D6" s="15">
        <v>0.7693981481497758</v>
      </c>
      <c r="E6" s="5">
        <v>3.0</v>
      </c>
      <c r="F6" s="2" t="s">
        <v>102</v>
      </c>
      <c r="G6" s="6">
        <v>46185.86117096065</v>
      </c>
    </row>
    <row r="7">
      <c r="A7" s="2" t="s">
        <v>121</v>
      </c>
      <c r="B7" s="2" t="s">
        <v>122</v>
      </c>
      <c r="C7" s="10">
        <v>46186.0</v>
      </c>
      <c r="D7" s="15">
        <v>0.3527314814818965</v>
      </c>
      <c r="E7" s="5">
        <v>1.0</v>
      </c>
      <c r="F7" s="2" t="s">
        <v>102</v>
      </c>
      <c r="G7" s="6">
        <v>46185.86662434028</v>
      </c>
    </row>
    <row r="8">
      <c r="A8" s="2" t="s">
        <v>123</v>
      </c>
      <c r="B8" s="2" t="s">
        <v>122</v>
      </c>
      <c r="C8" s="10">
        <v>46187.0</v>
      </c>
      <c r="D8" s="15">
        <v>0.43606481481401715</v>
      </c>
      <c r="E8" s="5">
        <v>2.0</v>
      </c>
      <c r="F8" s="2" t="s">
        <v>102</v>
      </c>
      <c r="G8" s="6">
        <v>46185.86662434028</v>
      </c>
    </row>
    <row r="9">
      <c r="A9" s="2" t="s">
        <v>124</v>
      </c>
      <c r="B9" s="2" t="s">
        <v>122</v>
      </c>
      <c r="C9" s="10">
        <v>46185.0</v>
      </c>
      <c r="D9" s="15">
        <v>0.7693981481497758</v>
      </c>
      <c r="E9" s="5">
        <v>3.0</v>
      </c>
      <c r="F9" s="2" t="s">
        <v>102</v>
      </c>
      <c r="G9" s="6">
        <v>46185.86662434028</v>
      </c>
    </row>
    <row r="10">
      <c r="A10" s="2" t="s">
        <v>125</v>
      </c>
      <c r="B10" s="2" t="s">
        <v>126</v>
      </c>
      <c r="C10" s="10">
        <v>46186.0</v>
      </c>
      <c r="D10" s="15">
        <v>0.3527314814818965</v>
      </c>
      <c r="E10" s="5">
        <v>1.0</v>
      </c>
      <c r="F10" s="2" t="s">
        <v>102</v>
      </c>
      <c r="G10" s="6">
        <v>46185.87604545139</v>
      </c>
    </row>
    <row r="11">
      <c r="A11" s="2" t="s">
        <v>127</v>
      </c>
      <c r="B11" s="2" t="s">
        <v>126</v>
      </c>
      <c r="C11" s="10">
        <v>46186.0</v>
      </c>
      <c r="D11" s="15">
        <v>0.3943981481497758</v>
      </c>
      <c r="E11" s="5">
        <v>2.0</v>
      </c>
      <c r="F11" s="2" t="s">
        <v>102</v>
      </c>
      <c r="G11" s="6">
        <v>46185.87604545139</v>
      </c>
    </row>
    <row r="12">
      <c r="A12" s="2" t="s">
        <v>128</v>
      </c>
      <c r="B12" s="2" t="s">
        <v>129</v>
      </c>
      <c r="C12" s="10">
        <v>46186.0</v>
      </c>
      <c r="D12" s="15">
        <v>0.3527314814818965</v>
      </c>
      <c r="E12" s="5">
        <v>1.0</v>
      </c>
      <c r="F12" s="2" t="s">
        <v>102</v>
      </c>
      <c r="G12" s="6">
        <v>46185.880830740745</v>
      </c>
    </row>
    <row r="13">
      <c r="A13" s="2" t="s">
        <v>130</v>
      </c>
      <c r="B13" s="2" t="s">
        <v>131</v>
      </c>
      <c r="C13" s="10">
        <v>46186.0</v>
      </c>
      <c r="D13" s="15">
        <v>0.3958333333321207</v>
      </c>
      <c r="E13" s="5">
        <v>1.0</v>
      </c>
      <c r="F13" s="2" t="s">
        <v>132</v>
      </c>
      <c r="G13" s="6">
        <v>46185.90712123843</v>
      </c>
    </row>
    <row r="14">
      <c r="A14" s="2" t="s">
        <v>133</v>
      </c>
      <c r="B14" s="2" t="s">
        <v>134</v>
      </c>
      <c r="C14" s="10">
        <v>46185.0</v>
      </c>
      <c r="D14" s="15">
        <v>0.3333333333321207</v>
      </c>
      <c r="E14" s="5">
        <v>1.0</v>
      </c>
      <c r="F14" s="2" t="s">
        <v>135</v>
      </c>
      <c r="G14" s="6">
        <v>46185.909134305555</v>
      </c>
    </row>
    <row r="15">
      <c r="A15" s="2" t="s">
        <v>136</v>
      </c>
      <c r="B15" s="2" t="s">
        <v>62</v>
      </c>
      <c r="C15" s="10">
        <v>46186.0</v>
      </c>
      <c r="D15" s="15">
        <v>0.3958333333321207</v>
      </c>
      <c r="E15" s="5">
        <v>1.0</v>
      </c>
      <c r="F15" s="2" t="s">
        <v>132</v>
      </c>
      <c r="G15" s="6">
        <v>46185.95119975695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66</v>
      </c>
      <c r="B1" s="11" t="s">
        <v>65</v>
      </c>
      <c r="C1" s="11" t="s">
        <v>85</v>
      </c>
    </row>
    <row r="2">
      <c r="A2" s="12" t="s">
        <v>100</v>
      </c>
      <c r="B2" s="12" t="s">
        <v>86</v>
      </c>
      <c r="C2" s="14" t="b">
        <v>1</v>
      </c>
    </row>
    <row r="3">
      <c r="A3" s="12" t="s">
        <v>100</v>
      </c>
      <c r="B3" s="12" t="s">
        <v>90</v>
      </c>
      <c r="C3" s="14" t="b">
        <v>1</v>
      </c>
    </row>
    <row r="4">
      <c r="A4" s="12" t="s">
        <v>137</v>
      </c>
      <c r="B4" s="12" t="s">
        <v>86</v>
      </c>
      <c r="C4" s="14" t="b">
        <v>1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66</v>
      </c>
      <c r="B1" s="11" t="s">
        <v>138</v>
      </c>
      <c r="C1" s="11" t="s">
        <v>139</v>
      </c>
      <c r="D1" s="11" t="s">
        <v>140</v>
      </c>
      <c r="E1" s="11" t="s">
        <v>85</v>
      </c>
    </row>
    <row r="2">
      <c r="A2" s="12" t="s">
        <v>100</v>
      </c>
      <c r="B2" s="12" t="s">
        <v>141</v>
      </c>
      <c r="C2" s="16">
        <v>0.375</v>
      </c>
      <c r="D2" s="16">
        <v>0.75</v>
      </c>
      <c r="E2" s="14" t="b">
        <v>1</v>
      </c>
    </row>
    <row r="3">
      <c r="A3" s="12" t="s">
        <v>100</v>
      </c>
      <c r="B3" s="12" t="s">
        <v>142</v>
      </c>
      <c r="C3" s="16">
        <v>0.4166666666666667</v>
      </c>
      <c r="D3" s="16">
        <v>0.8333333333333334</v>
      </c>
      <c r="E3" s="14" t="b">
        <v>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25"/>
  </cols>
  <sheetData>
    <row r="1">
      <c r="A1" s="17" t="s">
        <v>66</v>
      </c>
      <c r="B1" s="17" t="s">
        <v>64</v>
      </c>
      <c r="C1" s="17" t="s">
        <v>78</v>
      </c>
      <c r="D1" s="17" t="s">
        <v>79</v>
      </c>
      <c r="E1" s="17" t="s">
        <v>80</v>
      </c>
      <c r="F1" s="17" t="s">
        <v>143</v>
      </c>
      <c r="G1" s="17" t="s">
        <v>28</v>
      </c>
      <c r="H1" s="17" t="s">
        <v>85</v>
      </c>
    </row>
    <row r="2">
      <c r="A2" s="12" t="s">
        <v>100</v>
      </c>
      <c r="B2" s="12" t="s">
        <v>101</v>
      </c>
      <c r="C2" s="2" t="s">
        <v>144</v>
      </c>
      <c r="D2" s="12" t="s">
        <v>145</v>
      </c>
      <c r="E2" s="2" t="s">
        <v>146</v>
      </c>
      <c r="F2" s="13">
        <f>+380111111111</f>
        <v>380111111111</v>
      </c>
      <c r="H2" s="14" t="b">
        <v>1</v>
      </c>
    </row>
    <row r="3">
      <c r="A3" s="12" t="s">
        <v>137</v>
      </c>
      <c r="B3" s="12" t="s">
        <v>147</v>
      </c>
      <c r="C3" s="2" t="s">
        <v>148</v>
      </c>
      <c r="D3" s="12" t="s">
        <v>148</v>
      </c>
      <c r="E3" s="2" t="s">
        <v>149</v>
      </c>
      <c r="F3" s="13">
        <f>+380111111112</f>
        <v>380111111112</v>
      </c>
      <c r="H3" s="14" t="b">
        <v>1</v>
      </c>
    </row>
    <row r="4">
      <c r="A4" s="12" t="s">
        <v>105</v>
      </c>
      <c r="B4" s="18" t="s">
        <v>101</v>
      </c>
      <c r="C4" s="2" t="s">
        <v>150</v>
      </c>
      <c r="D4" s="2" t="s">
        <v>150</v>
      </c>
      <c r="E4" s="2" t="s">
        <v>151</v>
      </c>
      <c r="F4" s="13">
        <f>+380111111113</f>
        <v>380111111113</v>
      </c>
      <c r="H4" s="14" t="b">
        <v>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152</v>
      </c>
      <c r="B1" s="11" t="s">
        <v>66</v>
      </c>
      <c r="C1" s="11" t="s">
        <v>153</v>
      </c>
      <c r="D1" s="11" t="s">
        <v>154</v>
      </c>
      <c r="E1" s="11" t="s">
        <v>155</v>
      </c>
      <c r="F1" s="11" t="s">
        <v>2</v>
      </c>
    </row>
    <row r="2">
      <c r="A2" s="12" t="s">
        <v>156</v>
      </c>
      <c r="B2" s="12" t="s">
        <v>100</v>
      </c>
      <c r="C2" s="19">
        <v>46204.0</v>
      </c>
      <c r="D2" s="19">
        <v>46210.0</v>
      </c>
      <c r="E2" s="12" t="s">
        <v>157</v>
      </c>
      <c r="F2" s="12" t="s">
        <v>158</v>
      </c>
    </row>
    <row r="3">
      <c r="A3" s="12" t="s">
        <v>159</v>
      </c>
      <c r="B3" s="12" t="s">
        <v>137</v>
      </c>
      <c r="C3" s="19">
        <v>46188.0</v>
      </c>
      <c r="D3" s="19">
        <v>46188.0</v>
      </c>
      <c r="E3" s="12" t="s">
        <v>160</v>
      </c>
      <c r="F3" s="12" t="s">
        <v>161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162</v>
      </c>
      <c r="B1" s="11" t="s">
        <v>163</v>
      </c>
      <c r="C1" s="11" t="s">
        <v>155</v>
      </c>
      <c r="D1" s="11" t="s">
        <v>164</v>
      </c>
      <c r="E1" s="11" t="s">
        <v>165</v>
      </c>
      <c r="F1" s="11" t="s">
        <v>96</v>
      </c>
    </row>
    <row r="2">
      <c r="A2" s="12" t="s">
        <v>166</v>
      </c>
      <c r="B2" s="12" t="s">
        <v>167</v>
      </c>
      <c r="C2" s="12" t="s">
        <v>168</v>
      </c>
      <c r="D2" s="20">
        <v>46187.583333333336</v>
      </c>
      <c r="E2" s="12"/>
      <c r="F2" s="12" t="s">
        <v>102</v>
      </c>
    </row>
    <row r="3">
      <c r="A3" s="12" t="s">
        <v>169</v>
      </c>
      <c r="B3" s="12" t="s">
        <v>167</v>
      </c>
      <c r="C3" s="12" t="s">
        <v>170</v>
      </c>
      <c r="D3" s="20">
        <v>46188.5</v>
      </c>
      <c r="E3" s="12"/>
      <c r="F3" s="12" t="s">
        <v>102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38.25"/>
    <col customWidth="1" min="3" max="3" width="49.25"/>
    <col customWidth="1" min="4" max="4" width="37.13"/>
  </cols>
  <sheetData>
    <row r="1">
      <c r="A1" s="1" t="s">
        <v>0</v>
      </c>
      <c r="B1" s="1" t="s">
        <v>171</v>
      </c>
      <c r="C1" s="1" t="s">
        <v>7</v>
      </c>
      <c r="D1" s="1" t="s">
        <v>172</v>
      </c>
    </row>
    <row r="2">
      <c r="A2" s="2" t="s">
        <v>173</v>
      </c>
      <c r="B2" s="2" t="s">
        <v>174</v>
      </c>
      <c r="C2" s="2" t="s">
        <v>175</v>
      </c>
      <c r="D2" s="2" t="s">
        <v>176</v>
      </c>
    </row>
    <row r="3">
      <c r="A3" s="2" t="s">
        <v>177</v>
      </c>
      <c r="B3" s="2" t="s">
        <v>178</v>
      </c>
      <c r="C3" s="2" t="s">
        <v>179</v>
      </c>
      <c r="D3" s="2" t="s">
        <v>180</v>
      </c>
    </row>
    <row r="4">
      <c r="A4" s="2" t="s">
        <v>181</v>
      </c>
      <c r="B4" s="2" t="s">
        <v>182</v>
      </c>
      <c r="C4" s="2" t="s">
        <v>183</v>
      </c>
      <c r="D4" s="2" t="s">
        <v>184</v>
      </c>
    </row>
    <row r="5">
      <c r="A5" s="2" t="s">
        <v>185</v>
      </c>
      <c r="B5" s="2" t="s">
        <v>186</v>
      </c>
      <c r="C5" s="2" t="s">
        <v>187</v>
      </c>
      <c r="D5" s="2" t="s">
        <v>188</v>
      </c>
    </row>
    <row r="6">
      <c r="A6" s="2" t="s">
        <v>189</v>
      </c>
      <c r="B6" s="2" t="s">
        <v>190</v>
      </c>
      <c r="C6" s="2" t="s">
        <v>191</v>
      </c>
      <c r="D6" s="2" t="s">
        <v>192</v>
      </c>
    </row>
    <row r="7">
      <c r="A7" s="2" t="s">
        <v>193</v>
      </c>
      <c r="B7" s="2" t="s">
        <v>194</v>
      </c>
      <c r="C7" s="2" t="s">
        <v>195</v>
      </c>
      <c r="D7" s="2" t="s">
        <v>196</v>
      </c>
    </row>
    <row r="8">
      <c r="A8" s="2" t="s">
        <v>197</v>
      </c>
      <c r="B8" s="2" t="s">
        <v>198</v>
      </c>
      <c r="C8" s="2" t="s">
        <v>199</v>
      </c>
      <c r="D8" s="2" t="s">
        <v>200</v>
      </c>
    </row>
    <row r="9">
      <c r="A9" s="2" t="s">
        <v>201</v>
      </c>
      <c r="B9" s="2" t="s">
        <v>202</v>
      </c>
      <c r="C9" s="2" t="s">
        <v>203</v>
      </c>
      <c r="D9" s="2" t="s">
        <v>204</v>
      </c>
    </row>
    <row r="10">
      <c r="A10" s="2" t="s">
        <v>205</v>
      </c>
      <c r="B10" s="2" t="s">
        <v>206</v>
      </c>
      <c r="C10" s="2" t="s">
        <v>207</v>
      </c>
      <c r="D10" s="2" t="s">
        <v>208</v>
      </c>
    </row>
    <row r="11">
      <c r="A11" s="2" t="s">
        <v>209</v>
      </c>
      <c r="B11" s="2" t="s">
        <v>210</v>
      </c>
      <c r="C11" s="2" t="s">
        <v>211</v>
      </c>
      <c r="D11" s="2" t="s">
        <v>212</v>
      </c>
    </row>
    <row r="12">
      <c r="A12" s="2" t="s">
        <v>213</v>
      </c>
      <c r="B12" s="2" t="s">
        <v>214</v>
      </c>
      <c r="C12" s="2" t="s">
        <v>215</v>
      </c>
      <c r="D12" s="2" t="s">
        <v>216</v>
      </c>
    </row>
    <row r="13">
      <c r="A13" s="2" t="s">
        <v>217</v>
      </c>
      <c r="B13" s="2" t="s">
        <v>218</v>
      </c>
      <c r="C13" s="2" t="s">
        <v>219</v>
      </c>
      <c r="D13" s="2" t="s">
        <v>220</v>
      </c>
    </row>
    <row r="14">
      <c r="A14" s="2" t="s">
        <v>221</v>
      </c>
      <c r="B14" s="2" t="s">
        <v>222</v>
      </c>
      <c r="C14" s="2" t="s">
        <v>223</v>
      </c>
      <c r="D14" s="2" t="s">
        <v>224</v>
      </c>
    </row>
    <row r="15">
      <c r="A15" s="2" t="s">
        <v>225</v>
      </c>
      <c r="B15" s="2" t="s">
        <v>226</v>
      </c>
      <c r="C15" s="2" t="s">
        <v>227</v>
      </c>
      <c r="D15" s="2" t="s">
        <v>228</v>
      </c>
    </row>
    <row r="16">
      <c r="A16" s="2" t="s">
        <v>229</v>
      </c>
      <c r="B16" s="2" t="s">
        <v>230</v>
      </c>
      <c r="C16" s="2" t="s">
        <v>231</v>
      </c>
      <c r="D16" s="2" t="s">
        <v>232</v>
      </c>
    </row>
    <row r="17">
      <c r="A17" s="2" t="s">
        <v>233</v>
      </c>
      <c r="B17" s="2" t="s">
        <v>234</v>
      </c>
      <c r="C17" s="2" t="s">
        <v>234</v>
      </c>
      <c r="D17" s="2" t="s">
        <v>235</v>
      </c>
    </row>
    <row r="18">
      <c r="A18" s="2" t="s">
        <v>236</v>
      </c>
      <c r="B18" s="2" t="s">
        <v>237</v>
      </c>
      <c r="C18" s="2" t="s">
        <v>238</v>
      </c>
      <c r="D18" s="2" t="s">
        <v>239</v>
      </c>
    </row>
    <row r="19">
      <c r="A19" s="2" t="s">
        <v>240</v>
      </c>
      <c r="B19" s="2" t="s">
        <v>241</v>
      </c>
      <c r="C19" s="2" t="s">
        <v>242</v>
      </c>
      <c r="D19" s="2" t="s">
        <v>243</v>
      </c>
    </row>
    <row r="20">
      <c r="A20" s="2" t="s">
        <v>244</v>
      </c>
      <c r="B20" s="2" t="s">
        <v>245</v>
      </c>
      <c r="C20" s="2" t="s">
        <v>246</v>
      </c>
      <c r="D20" s="2" t="s">
        <v>247</v>
      </c>
    </row>
    <row r="21">
      <c r="A21" s="2" t="s">
        <v>248</v>
      </c>
      <c r="B21" s="2" t="s">
        <v>249</v>
      </c>
      <c r="C21" s="2" t="s">
        <v>250</v>
      </c>
      <c r="D21" s="2" t="s">
        <v>251</v>
      </c>
    </row>
    <row r="22">
      <c r="A22" s="2" t="s">
        <v>252</v>
      </c>
      <c r="B22" s="2" t="s">
        <v>253</v>
      </c>
      <c r="C22" s="2" t="s">
        <v>254</v>
      </c>
      <c r="D22" s="2" t="s">
        <v>255</v>
      </c>
    </row>
    <row r="23">
      <c r="A23" s="2" t="s">
        <v>256</v>
      </c>
      <c r="B23" s="2" t="s">
        <v>257</v>
      </c>
      <c r="C23" s="2" t="s">
        <v>257</v>
      </c>
      <c r="D23" s="2" t="s">
        <v>258</v>
      </c>
    </row>
    <row r="24">
      <c r="A24" s="2" t="s">
        <v>259</v>
      </c>
      <c r="B24" s="2" t="s">
        <v>260</v>
      </c>
      <c r="C24" s="2" t="s">
        <v>261</v>
      </c>
      <c r="D24" s="2" t="s">
        <v>262</v>
      </c>
    </row>
    <row r="25">
      <c r="A25" s="2" t="s">
        <v>263</v>
      </c>
      <c r="B25" s="2" t="s">
        <v>264</v>
      </c>
      <c r="C25" s="2" t="s">
        <v>265</v>
      </c>
      <c r="D25" s="2" t="s">
        <v>266</v>
      </c>
    </row>
    <row r="26">
      <c r="A26" s="2" t="s">
        <v>267</v>
      </c>
      <c r="B26" s="2" t="s">
        <v>268</v>
      </c>
      <c r="C26" s="2" t="s">
        <v>269</v>
      </c>
      <c r="D26" s="2" t="s">
        <v>270</v>
      </c>
    </row>
    <row r="27">
      <c r="A27" s="2" t="s">
        <v>271</v>
      </c>
      <c r="B27" s="2" t="s">
        <v>272</v>
      </c>
      <c r="C27" s="2" t="s">
        <v>273</v>
      </c>
      <c r="D27" s="2" t="s">
        <v>274</v>
      </c>
    </row>
    <row r="28">
      <c r="A28" s="2" t="s">
        <v>275</v>
      </c>
      <c r="B28" s="2" t="s">
        <v>276</v>
      </c>
      <c r="C28" s="2" t="s">
        <v>277</v>
      </c>
      <c r="D28" s="2" t="s">
        <v>278</v>
      </c>
    </row>
    <row r="29">
      <c r="A29" s="2" t="s">
        <v>279</v>
      </c>
      <c r="B29" s="2" t="s">
        <v>280</v>
      </c>
      <c r="C29" s="2" t="s">
        <v>281</v>
      </c>
      <c r="D29" s="2" t="s">
        <v>282</v>
      </c>
    </row>
    <row r="30">
      <c r="A30" s="2" t="s">
        <v>283</v>
      </c>
      <c r="B30" s="2" t="s">
        <v>284</v>
      </c>
      <c r="C30" s="2" t="s">
        <v>285</v>
      </c>
      <c r="D30" s="2" t="s">
        <v>286</v>
      </c>
    </row>
    <row r="31">
      <c r="A31" s="2" t="s">
        <v>287</v>
      </c>
      <c r="B31" s="2" t="s">
        <v>288</v>
      </c>
      <c r="C31" s="2" t="s">
        <v>289</v>
      </c>
      <c r="D31" s="2" t="s">
        <v>290</v>
      </c>
    </row>
    <row r="32">
      <c r="A32" s="2" t="s">
        <v>291</v>
      </c>
      <c r="B32" s="2" t="s">
        <v>292</v>
      </c>
      <c r="C32" s="2" t="s">
        <v>293</v>
      </c>
      <c r="D32" s="2" t="s">
        <v>294</v>
      </c>
    </row>
    <row r="33">
      <c r="A33" s="2" t="s">
        <v>295</v>
      </c>
      <c r="B33" s="2" t="s">
        <v>296</v>
      </c>
      <c r="C33" s="2" t="s">
        <v>297</v>
      </c>
      <c r="D33" s="2" t="s">
        <v>298</v>
      </c>
    </row>
    <row r="34">
      <c r="A34" s="2" t="s">
        <v>299</v>
      </c>
      <c r="B34" s="2" t="s">
        <v>300</v>
      </c>
      <c r="C34" s="2" t="s">
        <v>301</v>
      </c>
      <c r="D34" s="2" t="s">
        <v>302</v>
      </c>
    </row>
    <row r="35">
      <c r="A35" s="2" t="s">
        <v>303</v>
      </c>
      <c r="B35" s="2" t="s">
        <v>304</v>
      </c>
      <c r="C35" s="2" t="s">
        <v>304</v>
      </c>
      <c r="D35" s="2" t="s">
        <v>305</v>
      </c>
    </row>
    <row r="36">
      <c r="A36" s="2" t="s">
        <v>306</v>
      </c>
      <c r="B36" s="2" t="s">
        <v>307</v>
      </c>
      <c r="C36" s="2" t="s">
        <v>308</v>
      </c>
      <c r="D36" s="2" t="s">
        <v>309</v>
      </c>
    </row>
    <row r="37">
      <c r="A37" s="2" t="s">
        <v>310</v>
      </c>
      <c r="B37" s="2" t="s">
        <v>311</v>
      </c>
      <c r="C37" s="2" t="s">
        <v>311</v>
      </c>
      <c r="D37" s="2" t="s">
        <v>312</v>
      </c>
    </row>
    <row r="38">
      <c r="A38" s="2" t="s">
        <v>313</v>
      </c>
      <c r="B38" s="2" t="s">
        <v>314</v>
      </c>
      <c r="C38" s="2" t="s">
        <v>315</v>
      </c>
      <c r="D38" s="2" t="s">
        <v>316</v>
      </c>
    </row>
    <row r="39">
      <c r="A39" s="2" t="s">
        <v>317</v>
      </c>
      <c r="B39" s="2" t="s">
        <v>318</v>
      </c>
      <c r="C39" s="2" t="s">
        <v>319</v>
      </c>
      <c r="D39" s="2" t="s">
        <v>320</v>
      </c>
    </row>
    <row r="40">
      <c r="A40" s="2" t="s">
        <v>321</v>
      </c>
      <c r="B40" s="2" t="s">
        <v>322</v>
      </c>
      <c r="C40" s="2" t="s">
        <v>323</v>
      </c>
      <c r="D40" s="2" t="s">
        <v>324</v>
      </c>
    </row>
    <row r="41">
      <c r="A41" s="2" t="s">
        <v>325</v>
      </c>
      <c r="B41" s="2" t="s">
        <v>326</v>
      </c>
      <c r="C41" s="2" t="s">
        <v>327</v>
      </c>
      <c r="D41" s="2" t="s">
        <v>328</v>
      </c>
    </row>
    <row r="42">
      <c r="A42" s="2" t="s">
        <v>329</v>
      </c>
      <c r="B42" s="2" t="s">
        <v>330</v>
      </c>
      <c r="C42" s="2" t="s">
        <v>331</v>
      </c>
      <c r="D42" s="2" t="s">
        <v>332</v>
      </c>
    </row>
    <row r="43">
      <c r="A43" s="2" t="s">
        <v>333</v>
      </c>
      <c r="B43" s="2" t="s">
        <v>334</v>
      </c>
      <c r="C43" s="2" t="s">
        <v>335</v>
      </c>
      <c r="D43" s="2" t="s">
        <v>336</v>
      </c>
    </row>
    <row r="44">
      <c r="A44" s="2" t="s">
        <v>337</v>
      </c>
      <c r="B44" s="2" t="s">
        <v>338</v>
      </c>
      <c r="C44" s="2" t="s">
        <v>339</v>
      </c>
      <c r="D44" s="2" t="s">
        <v>340</v>
      </c>
    </row>
    <row r="45">
      <c r="A45" s="2" t="s">
        <v>341</v>
      </c>
      <c r="B45" s="2" t="s">
        <v>342</v>
      </c>
      <c r="C45" s="2" t="s">
        <v>343</v>
      </c>
      <c r="D45" s="2" t="s">
        <v>344</v>
      </c>
    </row>
    <row r="46">
      <c r="A46" s="2" t="s">
        <v>345</v>
      </c>
      <c r="B46" s="2" t="s">
        <v>346</v>
      </c>
      <c r="C46" s="2" t="s">
        <v>347</v>
      </c>
      <c r="D46" s="2" t="s">
        <v>348</v>
      </c>
    </row>
    <row r="47">
      <c r="A47" s="2" t="s">
        <v>349</v>
      </c>
      <c r="B47" s="2" t="s">
        <v>350</v>
      </c>
      <c r="C47" s="2" t="s">
        <v>351</v>
      </c>
      <c r="D47" s="2" t="s">
        <v>352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2.13"/>
  </cols>
  <sheetData>
    <row r="1">
      <c r="A1" s="17" t="s">
        <v>64</v>
      </c>
      <c r="B1" s="17" t="s">
        <v>78</v>
      </c>
      <c r="C1" s="17" t="s">
        <v>79</v>
      </c>
      <c r="D1" s="17" t="s">
        <v>80</v>
      </c>
      <c r="E1" s="17" t="s">
        <v>353</v>
      </c>
      <c r="F1" s="17" t="s">
        <v>143</v>
      </c>
      <c r="G1" s="17" t="s">
        <v>85</v>
      </c>
    </row>
    <row r="2">
      <c r="A2" s="2" t="s">
        <v>101</v>
      </c>
      <c r="B2" s="2" t="s">
        <v>354</v>
      </c>
      <c r="C2" s="2" t="s">
        <v>354</v>
      </c>
      <c r="D2" s="2" t="s">
        <v>355</v>
      </c>
      <c r="E2" s="2" t="s">
        <v>356</v>
      </c>
      <c r="F2" s="7">
        <f>+380000000001</f>
        <v>380000000001</v>
      </c>
      <c r="G2" s="2" t="b">
        <v>1</v>
      </c>
    </row>
    <row r="3">
      <c r="A3" s="2" t="s">
        <v>147</v>
      </c>
      <c r="B3" s="2" t="s">
        <v>357</v>
      </c>
      <c r="C3" s="2" t="s">
        <v>358</v>
      </c>
      <c r="D3" s="2" t="s">
        <v>359</v>
      </c>
      <c r="E3" s="2" t="s">
        <v>356</v>
      </c>
      <c r="F3" s="7">
        <f>+380000000002</f>
        <v>380000000002</v>
      </c>
      <c r="G3" s="2" t="b">
        <v>1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13.38"/>
    <col customWidth="1" min="6" max="6" width="16.38"/>
    <col customWidth="1" min="7" max="7" width="19.25"/>
    <col customWidth="1" min="8" max="8" width="13.38"/>
  </cols>
  <sheetData>
    <row r="1">
      <c r="A1" s="2" t="s">
        <v>95</v>
      </c>
      <c r="B1" s="2" t="s">
        <v>28</v>
      </c>
      <c r="C1" s="2" t="s">
        <v>360</v>
      </c>
      <c r="D1" s="2" t="s">
        <v>143</v>
      </c>
      <c r="E1" s="2" t="s">
        <v>361</v>
      </c>
      <c r="F1" s="2" t="s">
        <v>97</v>
      </c>
      <c r="G1" s="2" t="s">
        <v>30</v>
      </c>
      <c r="H1" s="2" t="s">
        <v>362</v>
      </c>
      <c r="I1" s="2" t="s">
        <v>363</v>
      </c>
      <c r="J1" s="2" t="s">
        <v>96</v>
      </c>
    </row>
    <row r="2">
      <c r="A2" s="2" t="s">
        <v>364</v>
      </c>
      <c r="B2" s="2">
        <v>7.75285374E9</v>
      </c>
      <c r="C2" s="2" t="s">
        <v>365</v>
      </c>
      <c r="D2" s="7">
        <v>3804562658652</v>
      </c>
      <c r="E2" s="2" t="s">
        <v>7</v>
      </c>
      <c r="F2" s="6">
        <v>46185.90711637732</v>
      </c>
      <c r="G2" s="6">
        <v>46185.90711637732</v>
      </c>
      <c r="J2" s="2" t="s">
        <v>109</v>
      </c>
    </row>
    <row r="3">
      <c r="A3" s="2" t="s">
        <v>366</v>
      </c>
      <c r="B3" s="2">
        <v>7.75285374E9</v>
      </c>
      <c r="C3" s="2" t="s">
        <v>367</v>
      </c>
      <c r="D3" s="7">
        <v>38052425635966</v>
      </c>
      <c r="E3" s="2" t="s">
        <v>7</v>
      </c>
      <c r="F3" s="6">
        <v>46185.90912765046</v>
      </c>
      <c r="G3" s="6">
        <v>46185.90912765046</v>
      </c>
      <c r="J3" s="2" t="s">
        <v>368</v>
      </c>
    </row>
    <row r="4">
      <c r="A4" s="2" t="s">
        <v>99</v>
      </c>
      <c r="B4" s="2">
        <v>7.75285374E9</v>
      </c>
      <c r="C4" s="2" t="s">
        <v>148</v>
      </c>
      <c r="D4" s="7">
        <v>3804452125648</v>
      </c>
      <c r="E4" s="2" t="s">
        <v>7</v>
      </c>
      <c r="F4" s="6">
        <v>46185.93864143519</v>
      </c>
      <c r="G4" s="6">
        <v>46185.93864143519</v>
      </c>
      <c r="J4" s="2" t="s">
        <v>368</v>
      </c>
    </row>
    <row r="5">
      <c r="A5" s="2" t="s">
        <v>104</v>
      </c>
      <c r="B5" s="2">
        <v>7.75285374E9</v>
      </c>
      <c r="C5" s="2" t="s">
        <v>369</v>
      </c>
      <c r="D5" s="7">
        <v>38045245268</v>
      </c>
      <c r="E5" s="2" t="s">
        <v>7</v>
      </c>
      <c r="F5" s="6">
        <v>46185.943211805556</v>
      </c>
      <c r="G5" s="6">
        <v>46185.943211805556</v>
      </c>
      <c r="J5" s="2" t="s">
        <v>368</v>
      </c>
    </row>
    <row r="6">
      <c r="A6" s="2" t="s">
        <v>107</v>
      </c>
      <c r="B6" s="2">
        <v>7.75285374E9</v>
      </c>
      <c r="C6" s="2" t="s">
        <v>145</v>
      </c>
      <c r="D6" s="7">
        <v>3502452635165</v>
      </c>
      <c r="E6" s="2" t="s">
        <v>7</v>
      </c>
      <c r="F6" s="6">
        <v>46185.947925671295</v>
      </c>
      <c r="G6" s="6">
        <v>46185.947925671295</v>
      </c>
      <c r="J6" s="2" t="s">
        <v>368</v>
      </c>
    </row>
    <row r="7">
      <c r="A7" s="2" t="s">
        <v>108</v>
      </c>
      <c r="B7" s="2">
        <v>7.75285374E9</v>
      </c>
      <c r="C7" s="2" t="s">
        <v>145</v>
      </c>
      <c r="D7" s="7">
        <v>38055245256685</v>
      </c>
      <c r="E7" s="2" t="s">
        <v>7</v>
      </c>
      <c r="F7" s="6">
        <v>46185.95117884259</v>
      </c>
      <c r="G7" s="6">
        <v>46185.95117884259</v>
      </c>
      <c r="J7" s="2" t="s">
        <v>109</v>
      </c>
    </row>
    <row r="8">
      <c r="F8" s="6"/>
      <c r="G8" s="6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10" max="10" width="16.25"/>
  </cols>
  <sheetData>
    <row r="1">
      <c r="A1" s="21" t="s">
        <v>163</v>
      </c>
      <c r="B1" s="21" t="s">
        <v>94</v>
      </c>
      <c r="C1" s="21" t="s">
        <v>95</v>
      </c>
      <c r="D1" s="21" t="s">
        <v>65</v>
      </c>
      <c r="E1" s="21" t="s">
        <v>66</v>
      </c>
      <c r="F1" s="21" t="s">
        <v>64</v>
      </c>
      <c r="G1" s="21" t="s">
        <v>370</v>
      </c>
      <c r="H1" s="21" t="s">
        <v>371</v>
      </c>
      <c r="I1" s="21" t="s">
        <v>96</v>
      </c>
      <c r="J1" s="21" t="s">
        <v>372</v>
      </c>
      <c r="K1" s="17" t="s">
        <v>97</v>
      </c>
      <c r="L1" s="17" t="s">
        <v>30</v>
      </c>
    </row>
    <row r="2">
      <c r="A2" s="18" t="s">
        <v>373</v>
      </c>
      <c r="B2" s="18" t="s">
        <v>62</v>
      </c>
      <c r="C2" s="18" t="s">
        <v>108</v>
      </c>
      <c r="D2" s="18" t="s">
        <v>90</v>
      </c>
      <c r="E2" s="18" t="s">
        <v>105</v>
      </c>
      <c r="F2" s="18" t="s">
        <v>101</v>
      </c>
      <c r="G2" s="22">
        <v>46186.395833333336</v>
      </c>
      <c r="H2" s="20"/>
      <c r="I2" s="18" t="s">
        <v>109</v>
      </c>
      <c r="J2" s="12"/>
      <c r="K2" s="6">
        <v>46185.95161697917</v>
      </c>
      <c r="L2" s="6">
        <v>46185.95161697917</v>
      </c>
    </row>
  </sheetData>
  <drawing r:id="rId1"/>
</worksheet>
</file>