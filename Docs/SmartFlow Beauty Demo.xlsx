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UserStates" sheetId="2" r:id="rId6"/>
    <sheet state="visible" name="AuditLog" sheetId="3" r:id="rId7"/>
    <sheet state="visible" name="UserSessions" sheetId="4" r:id="rId8"/>
    <sheet state="visible" name="Services" sheetId="5" r:id="rId9"/>
    <sheet state="visible" name="Requests" sheetId="6" r:id="rId10"/>
    <sheet state="visible" name="RequestOptions" sheetId="7" r:id="rId11"/>
    <sheet state="visible" name="ProviderServices" sheetId="8" r:id="rId12"/>
    <sheet state="visible" name="ProviderSchedule" sheetId="9" r:id="rId13"/>
    <sheet state="visible" name="Providers" sheetId="10" r:id="rId14"/>
    <sheet state="visible" name="ProviderExceptions" sheetId="11" r:id="rId15"/>
    <sheet state="visible" name="Notifications" sheetId="12" r:id="rId16"/>
    <sheet state="visible" name="Messages" sheetId="13" r:id="rId17"/>
    <sheet state="visible" name="Locations" sheetId="14" r:id="rId18"/>
    <sheet state="visible" name="Customers" sheetId="15" r:id="rId19"/>
    <sheet state="visible" name="Appointments" sheetId="16" r:id="rId20"/>
  </sheets>
  <definedNames/>
  <calcPr/>
</workbook>
</file>

<file path=xl/sharedStrings.xml><?xml version="1.0" encoding="utf-8"?>
<sst xmlns="http://schemas.openxmlformats.org/spreadsheetml/2006/main" count="388" uniqueCount="217">
  <si>
    <t>key</t>
  </si>
  <si>
    <t>value</t>
  </si>
  <si>
    <t>comment</t>
  </si>
  <si>
    <t>BusinessName</t>
  </si>
  <si>
    <t>SmartFlow Beauty Demo</t>
  </si>
  <si>
    <t>Название</t>
  </si>
  <si>
    <t>Language</t>
  </si>
  <si>
    <t>ru</t>
  </si>
  <si>
    <t>Язык</t>
  </si>
  <si>
    <t>TimeZone</t>
  </si>
  <si>
    <t>Europe/Kyiv</t>
  </si>
  <si>
    <t>Часовой пояс</t>
  </si>
  <si>
    <t>Currency</t>
  </si>
  <si>
    <t>UAH</t>
  </si>
  <si>
    <t>Валюта</t>
  </si>
  <si>
    <t>ClientBotToken</t>
  </si>
  <si>
    <t>8771518181:AAFr9SnyJjLR1aVCOgNSvCrdI0xb1M-q1R4</t>
  </si>
  <si>
    <t>Пока тест</t>
  </si>
  <si>
    <t>AdminBotToken</t>
  </si>
  <si>
    <t>TEST</t>
  </si>
  <si>
    <t>OwnerTelegramId</t>
  </si>
  <si>
    <t>Пока неизвестен</t>
  </si>
  <si>
    <t>MainCalendarId</t>
  </si>
  <si>
    <t>ReminderDayBefore</t>
  </si>
  <si>
    <t>Reminder2Hours</t>
  </si>
  <si>
    <t>ReminderMonth</t>
  </si>
  <si>
    <t>ClientWebAppUrl</t>
  </si>
  <si>
    <t>https://script.google.com/macros/s/AKfycbzUf-YieHsYVX0Tyd32LjdiHWzIq4KqAPAYwXZKeM_LJcRvP5X-CthBxlXyxEl-jWc/exec</t>
  </si>
  <si>
    <t>telegram_id</t>
  </si>
  <si>
    <t>state</t>
  </si>
  <si>
    <t>updated_at</t>
  </si>
  <si>
    <t>WAITING_LOCATION</t>
  </si>
  <si>
    <t>WAITING_PROVIDER</t>
  </si>
  <si>
    <t>timestamp</t>
  </si>
  <si>
    <t>user_id</t>
  </si>
  <si>
    <t>action</t>
  </si>
  <si>
    <t>details</t>
  </si>
  <si>
    <t>DOPOST_STARTED</t>
  </si>
  <si>
    <t>Started</t>
  </si>
  <si>
    <t>RAW_POST</t>
  </si>
  <si>
    <t>{"update_id":488306745,
"message":{"message_id":44,"from":{"id":7752853740,"is_bot":false,"first_name":"Run","last_name":"Pipelines","username":"RunPipelines","language_code":"ru"},"chat":{"id":7752853740,"first_name":"Run","last_name":"Pipelines","username":"RunPipelines","type":"private"},"date":1781129395,"text":"test"}}</t>
  </si>
  <si>
    <t>SETTINGS_LOADED</t>
  </si>
  <si>
    <t>{"BusinessName":"SmartFlow Beauty Demo","Language":"ru","TimeZone":"Europe/Kyiv","Currency":"UAH","ClientBotToken":"8771518181:AAFr9SnyJjLR1aVCOgNSvCrdI0xb1M-q1R4","AdminBotToken":"TEST","OwnerTelegramId":7752853740,"MainCalendarId":"TEST","ReminderDayBefore":true,"Reminder2Hours":true,"ReminderMonth":false,"ClientWebAppUrl":"https://script.google.com/macros/s/AKfycbwcfRcjzj5qR9zvI8hUgVEPy4svi6iyXTCQzftn_v4el71mwiYFfCG0JhH2DfuolQIl/exec"}</t>
  </si>
  <si>
    <t>CHAT_ID</t>
  </si>
  <si>
    <t>SEND_TO_OWNER_RESPONSE</t>
  </si>
  <si>
    <t>SEND_TO_USER_RESPONSE</t>
  </si>
  <si>
    <t>{"update_id":488306746,
"message":{"message_id":45,"from":{"id":7752853740,"is_bot":false,"first_name":"Run","last_name":"Pipelines","username":"RunPipelines","language_code":"ru"},"chat":{"id":7752853740,"first_name":"Run","last_name":"Pipelines","username":"RunPipelines","type":"private"},"date":1781129463,"text":"test"}}</t>
  </si>
  <si>
    <t>{"update_id":488306747,
"message":{"message_id":46,"from":{"id":7752853740,"is_bot":false,"first_name":"Run","last_name":"Pipelines","username":"RunPipelines","language_code":"ru"},"chat":{"id":7752853740,"first_name":"Run","last_name":"Pipelines","username":"RunPipelines","type":"private"},"date":1781129653,"text":"test"}}</t>
  </si>
  <si>
    <t>{"update_id":488306748,
"message":{"message_id":47,"from":{"id":7752853740,"is_bot":false,"first_name":"Run","last_name":"Pipelines","username":"RunPipelines","language_code":"ru"},"chat":{"id":7752853740,"first_name":"Run","last_name":"Pipelines","username":"RunPipelines","type":"private"},"date":1781129766,"text":"/test","entities":[{"offset":0,"length":5,"type":"bot_command"}]}}</t>
  </si>
  <si>
    <t>{"update_id":488306749,
"message":{"message_id":48,"from":{"id":7752853740,"is_bot":false,"first_name":"Run","last_name":"Pipelines","username":"RunPipelines","language_code":"ru"},"chat":{"id":7752853740,"first_name":"Run","last_name":"Pipelines","username":"RunPipelines","type":"private"},"date":1781129900,"text":"test"}}</t>
  </si>
  <si>
    <t>{"update_id":488306750,
"message":{"message_id":49,"from":{"id":7752853740,"is_bot":false,"first_name":"Run","last_name":"Pipelines","username":"RunPipelines","language_code":"ru"},"chat":{"id":7752853740,"first_name":"Run","last_name":"Pipelines","username":"RunPipelines","type":"private"},"date":1781130286,"text":"test"}}</t>
  </si>
  <si>
    <t>{"update_id":488306751,
"message":{"message_id":50,"from":{"id":7752853740,"is_bot":false,"first_name":"Run","last_name":"Pipelines","username":"RunPipelines","language_code":"ru"},"chat":{"id":7752853740,"first_name":"Run","last_name":"Pipelines","username":"RunPipelines","type":"private"},"date":1781130320,"text":"/test","entities":[{"offset":0,"length":5,"type":"bot_command"}]}}</t>
  </si>
  <si>
    <t>{"update_id":488306752,
"message":{"message_id":52,"from":{"id":7752853740,"is_bot":false,"first_name":"Run","last_name":"Pipelines","username":"RunPipelines","language_code":"ru"},"chat":{"id":7752853740,"first_name":"Run","last_name":"Pipelines","username":"RunPipelines","type":"private"},"date":1781130595,"text":"test"}}</t>
  </si>
  <si>
    <t>{"update_id":488306753,
"message":{"message_id":69,"from":{"id":7752853740,"is_bot":false,"first_name":"Run","last_name":"Pipelines","username":"RunPipelines","language_code":"ru"},"chat":{"id":7752853740,"first_name":"Run","last_name":"Pipelines","username":"RunPipelines","type":"private"},"date":1781130677,"text":"test"}}</t>
  </si>
  <si>
    <t>location_id</t>
  </si>
  <si>
    <t>service_id</t>
  </si>
  <si>
    <t>provider_id</t>
  </si>
  <si>
    <t>option_count</t>
  </si>
  <si>
    <t>current_option_date</t>
  </si>
  <si>
    <t>current_option_period</t>
  </si>
  <si>
    <t>name_uk</t>
  </si>
  <si>
    <t>name_ru</t>
  </si>
  <si>
    <t>name_en</t>
  </si>
  <si>
    <t>min_duration</t>
  </si>
  <si>
    <t>max_duration</t>
  </si>
  <si>
    <t>price_from</t>
  </si>
  <si>
    <t>price_to</t>
  </si>
  <si>
    <t>active</t>
  </si>
  <si>
    <t>serv_001</t>
  </si>
  <si>
    <t>Манікюр</t>
  </si>
  <si>
    <t>Маникюр</t>
  </si>
  <si>
    <t>Manicure</t>
  </si>
  <si>
    <t>serv_002</t>
  </si>
  <si>
    <t>Фарбування</t>
  </si>
  <si>
    <t>Окрашивание</t>
  </si>
  <si>
    <t>Hair coloring</t>
  </si>
  <si>
    <t>request_id</t>
  </si>
  <si>
    <t>customer_id</t>
  </si>
  <si>
    <t>status</t>
  </si>
  <si>
    <t>created_at</t>
  </si>
  <si>
    <t>req_001</t>
  </si>
  <si>
    <t>cust_001</t>
  </si>
  <si>
    <t>prov_001</t>
  </si>
  <si>
    <t>loc_001</t>
  </si>
  <si>
    <t>pending</t>
  </si>
  <si>
    <t>option_id</t>
  </si>
  <si>
    <t>preferred_date</t>
  </si>
  <si>
    <t>preferred_period</t>
  </si>
  <si>
    <t>priority</t>
  </si>
  <si>
    <t>opt_001</t>
  </si>
  <si>
    <t>morning</t>
  </si>
  <si>
    <t>opt_002</t>
  </si>
  <si>
    <t>afternoon</t>
  </si>
  <si>
    <t>opt_003</t>
  </si>
  <si>
    <t>evening</t>
  </si>
  <si>
    <t>prov_002</t>
  </si>
  <si>
    <t>day_of_week</t>
  </si>
  <si>
    <t>start_time</t>
  </si>
  <si>
    <t>end_time</t>
  </si>
  <si>
    <t>monday</t>
  </si>
  <si>
    <t>tuesday</t>
  </si>
  <si>
    <t>name</t>
  </si>
  <si>
    <t>phone</t>
  </si>
  <si>
    <t xml:space="preserve">telegram_id </t>
  </si>
  <si>
    <t>Анна</t>
  </si>
  <si>
    <t>Ольга</t>
  </si>
  <si>
    <t>loc_002</t>
  </si>
  <si>
    <t>prov_003</t>
  </si>
  <si>
    <t>Марина</t>
  </si>
  <si>
    <t>exception_id</t>
  </si>
  <si>
    <t>date_from</t>
  </si>
  <si>
    <t>date_to</t>
  </si>
  <si>
    <t>type</t>
  </si>
  <si>
    <t>exc_001</t>
  </si>
  <si>
    <t>vacation</t>
  </si>
  <si>
    <t>Отпуск</t>
  </si>
  <si>
    <t>exc_002</t>
  </si>
  <si>
    <t>sick_leave</t>
  </si>
  <si>
    <t>Больничный</t>
  </si>
  <si>
    <t>notification_id</t>
  </si>
  <si>
    <t>appointment_id</t>
  </si>
  <si>
    <t>send_at</t>
  </si>
  <si>
    <t>sent_at</t>
  </si>
  <si>
    <t>notif_001</t>
  </si>
  <si>
    <t>app_001</t>
  </si>
  <si>
    <t>day_before</t>
  </si>
  <si>
    <t>notif_002</t>
  </si>
  <si>
    <t>two_hours</t>
  </si>
  <si>
    <t>uk</t>
  </si>
  <si>
    <t>en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</si>
  <si>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</si>
  <si>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</si>
  <si>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</si>
  <si>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</si>
  <si>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</si>
  <si>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</si>
  <si>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</si>
  <si>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</si>
  <si>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</si>
  <si>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</si>
  <si>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</si>
  <si>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</si>
  <si>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</si>
  <si>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</si>
  <si>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</si>
  <si>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</si>
  <si>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</si>
  <si>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</si>
  <si>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</si>
  <si>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</si>
  <si>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</si>
  <si>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</si>
  <si>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</si>
  <si>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</si>
  <si>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</si>
  <si>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</si>
  <si>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</si>
  <si>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</si>
  <si>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</si>
  <si>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</si>
  <si>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</si>
  <si>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</si>
  <si>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</si>
  <si>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</si>
  <si>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</si>
  <si>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</si>
  <si>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</si>
  <si>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</si>
  <si>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</si>
  <si>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</si>
  <si>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</si>
  <si>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</si>
  <si>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</si>
  <si>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</si>
  <si>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</si>
  <si>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</si>
  <si>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</si>
  <si>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</si>
  <si>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</si>
  <si>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</si>
  <si>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</si>
  <si>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</si>
  <si>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ANY_PROVIDER</t>
  </si>
  <si>
    <t>Будь-який майстер</t>
  </si>
  <si>
    <t>Любой мастер</t>
  </si>
  <si>
    <t>Any provider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</si>
  <si>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</si>
  <si>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</si>
  <si>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</si>
  <si>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</si>
  <si>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</si>
  <si>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</si>
  <si>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</si>
  <si>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</si>
  <si>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</si>
  <si>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</si>
  <si>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</si>
  <si>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</si>
  <si>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</si>
  <si>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</si>
  <si>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</si>
  <si>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</si>
  <si>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</si>
  <si>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</si>
  <si>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</si>
  <si>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address</t>
  </si>
  <si>
    <t>Центр</t>
  </si>
  <si>
    <t>Днепр</t>
  </si>
  <si>
    <t>Левый берег</t>
  </si>
  <si>
    <t>language</t>
  </si>
  <si>
    <t>last_visit_at</t>
  </si>
  <si>
    <t>notes</t>
  </si>
  <si>
    <t>start_at</t>
  </si>
  <si>
    <t>end_at</t>
  </si>
  <si>
    <t>calendar_event_id</t>
  </si>
  <si>
    <t>confirmed</t>
  </si>
  <si>
    <t>...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</si>
</sst>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-mm-dd h:mm"/>
    <numFmt numFmtId="165" formatCode="m/d/yyyy h:mm:ss"/>
    <numFmt numFmtId="166" formatCode="yyyy-mm-dd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b/>
      <color theme="1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5" xfId="0" applyAlignment="1" applyFont="1" applyNumberFormat="1">
      <alignment readingOrder="0"/>
    </xf>
    <xf borderId="0" fillId="0" fontId="4" numFmtId="0" xfId="0" applyAlignment="1" applyFont="1">
      <alignment horizontal="center"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center" vertical="bottom"/>
    </xf>
    <xf borderId="0" fillId="0" fontId="5" numFmtId="166" xfId="0" applyAlignment="1" applyFont="1" applyNumberFormat="1">
      <alignment horizontal="right" vertical="bottom"/>
    </xf>
    <xf borderId="0" fillId="0" fontId="5" numFmtId="20" xfId="0" applyAlignment="1" applyFont="1" applyNumberFormat="1">
      <alignment horizontal="right" vertical="bottom"/>
    </xf>
    <xf borderId="0" fillId="0" fontId="1" numFmtId="0" xfId="0" applyAlignment="1" applyFont="1">
      <alignment readingOrder="0"/>
    </xf>
    <xf borderId="0" fillId="0" fontId="5" numFmtId="0" xfId="0" applyAlignment="1" applyFont="1">
      <alignment readingOrder="0" vertical="bottom"/>
    </xf>
    <xf borderId="0" fillId="0" fontId="5" numFmtId="164" xfId="0" applyAlignment="1" applyFont="1" applyNumberFormat="1">
      <alignment horizontal="right" vertical="bottom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zUf-YieHsYVX0Tyd32LjdiHWzIq4KqAPAYwXZKeM_LJcRvP5X-CthBxlXyxEl-jWc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2" t="s">
        <v>4</v>
      </c>
      <c r="C2" s="2" t="s">
        <v>5</v>
      </c>
    </row>
    <row r="3">
      <c r="A3" s="2" t="s">
        <v>6</v>
      </c>
      <c r="B3" s="2" t="s">
        <v>7</v>
      </c>
      <c r="C3" s="2" t="s">
        <v>8</v>
      </c>
    </row>
    <row r="4">
      <c r="A4" s="2" t="s">
        <v>9</v>
      </c>
      <c r="B4" s="2" t="s">
        <v>10</v>
      </c>
      <c r="C4" s="2" t="s">
        <v>11</v>
      </c>
    </row>
    <row r="5">
      <c r="A5" s="2" t="s">
        <v>12</v>
      </c>
      <c r="B5" s="2" t="s">
        <v>13</v>
      </c>
      <c r="C5" s="2" t="s">
        <v>14</v>
      </c>
    </row>
    <row r="6">
      <c r="A6" s="2" t="s">
        <v>15</v>
      </c>
      <c r="B6" s="2" t="s">
        <v>16</v>
      </c>
      <c r="C6" s="2" t="s">
        <v>17</v>
      </c>
    </row>
    <row r="7">
      <c r="A7" s="2" t="s">
        <v>18</v>
      </c>
      <c r="B7" s="2" t="s">
        <v>19</v>
      </c>
      <c r="C7" s="2" t="s">
        <v>17</v>
      </c>
    </row>
    <row r="8">
      <c r="A8" s="2" t="s">
        <v>20</v>
      </c>
      <c r="B8" s="2">
        <v>7.75285374E9</v>
      </c>
      <c r="C8" s="2" t="s">
        <v>21</v>
      </c>
    </row>
    <row r="9">
      <c r="A9" s="2" t="s">
        <v>22</v>
      </c>
      <c r="B9" s="2" t="s">
        <v>19</v>
      </c>
      <c r="C9" s="2" t="s">
        <v>17</v>
      </c>
    </row>
    <row r="10">
      <c r="A10" s="2" t="s">
        <v>23</v>
      </c>
      <c r="B10" s="2" t="b">
        <v>1</v>
      </c>
    </row>
    <row r="11">
      <c r="A11" s="2" t="s">
        <v>24</v>
      </c>
      <c r="B11" s="2" t="b">
        <v>1</v>
      </c>
    </row>
    <row r="12">
      <c r="A12" s="2" t="s">
        <v>25</v>
      </c>
      <c r="B12" s="2" t="b">
        <v>0</v>
      </c>
    </row>
    <row r="13">
      <c r="A13" s="2" t="s">
        <v>26</v>
      </c>
      <c r="B13" s="3" t="s">
        <v>27</v>
      </c>
    </row>
    <row r="15">
      <c r="B15" s="4"/>
    </row>
  </sheetData>
  <hyperlinks>
    <hyperlink r:id="rId1" ref="B13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28</v>
      </c>
      <c r="B1" s="1" t="s">
        <v>29</v>
      </c>
      <c r="C1" s="1" t="s">
        <v>30</v>
      </c>
    </row>
    <row r="2">
      <c r="A2" s="2">
        <v>123456.0</v>
      </c>
      <c r="B2" s="2" t="s">
        <v>31</v>
      </c>
      <c r="C2" s="5">
        <v>46184.020833333336</v>
      </c>
    </row>
    <row r="3">
      <c r="A3" s="6">
        <v>7.75285374E9</v>
      </c>
      <c r="B3" s="2" t="s">
        <v>32</v>
      </c>
      <c r="C3" s="7">
        <v>46184.93502211805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33</v>
      </c>
      <c r="B1" s="1" t="s">
        <v>34</v>
      </c>
      <c r="C1" s="1" t="s">
        <v>35</v>
      </c>
      <c r="D1" s="1" t="s">
        <v>36</v>
      </c>
    </row>
    <row r="2">
      <c r="A2" s="7">
        <v>46184.062834641205</v>
      </c>
      <c r="B2" s="2" t="s">
        <v>37</v>
      </c>
      <c r="C2" s="2" t="s">
        <v>38</v>
      </c>
    </row>
    <row r="3">
      <c r="A3" s="7">
        <v>46184.062838032405</v>
      </c>
      <c r="B3" s="2" t="s">
        <v>39</v>
      </c>
      <c r="C3" s="2" t="s">
        <v>40</v>
      </c>
    </row>
    <row r="4">
      <c r="A4" s="7">
        <v>46184.062845821754</v>
      </c>
      <c r="B4" s="2" t="s">
        <v>41</v>
      </c>
      <c r="C4" s="2" t="s">
        <v>42</v>
      </c>
    </row>
    <row r="5">
      <c r="A5" s="7">
        <v>46184.06284782407</v>
      </c>
      <c r="B5" s="2" t="s">
        <v>43</v>
      </c>
      <c r="C5" s="2">
        <v>7.75285374E9</v>
      </c>
    </row>
    <row r="6">
      <c r="A6" s="7">
        <v>46184.062851689814</v>
      </c>
      <c r="B6" s="2" t="s">
        <v>44</v>
      </c>
    </row>
    <row r="7">
      <c r="A7" s="7">
        <v>46184.06285528935</v>
      </c>
      <c r="B7" s="2" t="s">
        <v>45</v>
      </c>
    </row>
    <row r="8">
      <c r="A8" s="7">
        <v>46184.0628725</v>
      </c>
      <c r="B8" s="2" t="s">
        <v>37</v>
      </c>
      <c r="C8" s="2" t="s">
        <v>38</v>
      </c>
    </row>
    <row r="9">
      <c r="A9" s="7">
        <v>46184.06287454861</v>
      </c>
      <c r="B9" s="2" t="s">
        <v>39</v>
      </c>
      <c r="C9" s="2" t="s">
        <v>46</v>
      </c>
    </row>
    <row r="10">
      <c r="A10" s="7">
        <v>46184.06287892361</v>
      </c>
      <c r="B10" s="2" t="s">
        <v>41</v>
      </c>
      <c r="C10" s="2" t="s">
        <v>42</v>
      </c>
    </row>
    <row r="11">
      <c r="A11" s="7">
        <v>46184.06288090278</v>
      </c>
      <c r="B11" s="2" t="s">
        <v>43</v>
      </c>
      <c r="C11" s="2">
        <v>7.75285374E9</v>
      </c>
    </row>
    <row r="12">
      <c r="A12" s="7">
        <v>46184.06288592593</v>
      </c>
      <c r="B12" s="2" t="s">
        <v>44</v>
      </c>
    </row>
    <row r="13">
      <c r="A13" s="7">
        <v>46184.06289001157</v>
      </c>
      <c r="B13" s="2" t="s">
        <v>45</v>
      </c>
    </row>
    <row r="14">
      <c r="A14" s="7">
        <v>46184.06300329861</v>
      </c>
      <c r="B14" s="2" t="s">
        <v>37</v>
      </c>
      <c r="C14" s="2" t="s">
        <v>38</v>
      </c>
    </row>
    <row r="15">
      <c r="A15" s="7">
        <v>46184.063011087965</v>
      </c>
      <c r="B15" s="2" t="s">
        <v>39</v>
      </c>
      <c r="C15" s="2" t="s">
        <v>47</v>
      </c>
    </row>
    <row r="16">
      <c r="A16" s="7">
        <v>46184.063023599534</v>
      </c>
      <c r="B16" s="2" t="s">
        <v>41</v>
      </c>
      <c r="C16" s="2" t="s">
        <v>42</v>
      </c>
    </row>
    <row r="17">
      <c r="A17" s="7">
        <v>46184.063026689815</v>
      </c>
      <c r="B17" s="2" t="s">
        <v>43</v>
      </c>
      <c r="C17" s="2">
        <v>7.75285374E9</v>
      </c>
    </row>
    <row r="18">
      <c r="A18" s="7">
        <v>46184.06303276621</v>
      </c>
      <c r="B18" s="2" t="s">
        <v>44</v>
      </c>
    </row>
    <row r="19">
      <c r="A19" s="7">
        <v>46184.063038935186</v>
      </c>
      <c r="B19" s="2" t="s">
        <v>45</v>
      </c>
    </row>
    <row r="20">
      <c r="A20" s="7">
        <v>46184.063061493056</v>
      </c>
      <c r="B20" s="2" t="s">
        <v>37</v>
      </c>
      <c r="C20" s="2" t="s">
        <v>38</v>
      </c>
    </row>
    <row r="21">
      <c r="A21" s="7">
        <v>46184.06306418982</v>
      </c>
      <c r="B21" s="2" t="s">
        <v>39</v>
      </c>
      <c r="C21" s="2" t="s">
        <v>48</v>
      </c>
    </row>
    <row r="22">
      <c r="A22" s="7">
        <v>46184.06306945602</v>
      </c>
      <c r="B22" s="2" t="s">
        <v>41</v>
      </c>
      <c r="C22" s="2" t="s">
        <v>42</v>
      </c>
    </row>
    <row r="23">
      <c r="A23" s="7">
        <v>46184.063072523146</v>
      </c>
      <c r="B23" s="2" t="s">
        <v>43</v>
      </c>
      <c r="C23" s="2">
        <v>7.75285374E9</v>
      </c>
    </row>
    <row r="24">
      <c r="A24" s="7">
        <v>46184.06307773148</v>
      </c>
      <c r="B24" s="2" t="s">
        <v>44</v>
      </c>
    </row>
    <row r="25">
      <c r="A25" s="7">
        <v>46184.063082569446</v>
      </c>
      <c r="B25" s="2" t="s">
        <v>45</v>
      </c>
    </row>
    <row r="26">
      <c r="A26" s="7">
        <v>46184.06309688657</v>
      </c>
      <c r="B26" s="2" t="s">
        <v>37</v>
      </c>
      <c r="C26" s="2" t="s">
        <v>38</v>
      </c>
    </row>
    <row r="27">
      <c r="A27" s="7">
        <v>46184.06309922454</v>
      </c>
      <c r="B27" s="2" t="s">
        <v>39</v>
      </c>
      <c r="C27" s="2" t="s">
        <v>49</v>
      </c>
    </row>
    <row r="28">
      <c r="A28" s="7">
        <v>46184.063104050925</v>
      </c>
      <c r="B28" s="2" t="s">
        <v>41</v>
      </c>
      <c r="C28" s="2" t="s">
        <v>42</v>
      </c>
    </row>
    <row r="29">
      <c r="A29" s="7">
        <v>46184.063106828704</v>
      </c>
      <c r="B29" s="2" t="s">
        <v>43</v>
      </c>
      <c r="C29" s="2">
        <v>7.75285374E9</v>
      </c>
    </row>
    <row r="30">
      <c r="A30" s="7">
        <v>46184.063111678246</v>
      </c>
      <c r="B30" s="2" t="s">
        <v>44</v>
      </c>
    </row>
    <row r="31">
      <c r="A31" s="7">
        <v>46184.06311567129</v>
      </c>
      <c r="B31" s="2" t="s">
        <v>45</v>
      </c>
    </row>
    <row r="32">
      <c r="A32" s="7">
        <v>46184.06313052084</v>
      </c>
      <c r="B32" s="2" t="s">
        <v>37</v>
      </c>
      <c r="C32" s="2" t="s">
        <v>38</v>
      </c>
    </row>
    <row r="33">
      <c r="A33" s="7">
        <v>46184.06313314815</v>
      </c>
      <c r="B33" s="2" t="s">
        <v>39</v>
      </c>
      <c r="C33" s="2" t="s">
        <v>50</v>
      </c>
    </row>
    <row r="34">
      <c r="A34" s="7">
        <v>46184.06313862269</v>
      </c>
      <c r="B34" s="2" t="s">
        <v>41</v>
      </c>
      <c r="C34" s="2" t="s">
        <v>42</v>
      </c>
    </row>
    <row r="35">
      <c r="A35" s="7">
        <v>46184.06314118055</v>
      </c>
      <c r="B35" s="2" t="s">
        <v>43</v>
      </c>
      <c r="C35" s="2">
        <v>7.75285374E9</v>
      </c>
    </row>
    <row r="36">
      <c r="A36" s="7">
        <v>46184.06314576389</v>
      </c>
      <c r="B36" s="2" t="s">
        <v>44</v>
      </c>
    </row>
    <row r="37">
      <c r="A37" s="7">
        <v>46184.06315028935</v>
      </c>
      <c r="B37" s="2" t="s">
        <v>45</v>
      </c>
    </row>
    <row r="38">
      <c r="A38" s="7">
        <v>46184.06316583333</v>
      </c>
      <c r="B38" s="2" t="s">
        <v>37</v>
      </c>
      <c r="C38" s="2" t="s">
        <v>38</v>
      </c>
    </row>
    <row r="39">
      <c r="A39" s="7">
        <v>46184.06316777778</v>
      </c>
      <c r="B39" s="2" t="s">
        <v>39</v>
      </c>
      <c r="C39" s="2" t="s">
        <v>51</v>
      </c>
    </row>
    <row r="40">
      <c r="A40" s="7">
        <v>46184.06317201389</v>
      </c>
      <c r="B40" s="2" t="s">
        <v>41</v>
      </c>
      <c r="C40" s="2" t="s">
        <v>42</v>
      </c>
    </row>
    <row r="41">
      <c r="A41" s="7">
        <v>46184.06317864583</v>
      </c>
      <c r="B41" s="2" t="s">
        <v>43</v>
      </c>
      <c r="C41" s="2">
        <v>7.75285374E9</v>
      </c>
    </row>
    <row r="42">
      <c r="A42" s="7">
        <v>46184.06318341436</v>
      </c>
      <c r="B42" s="2" t="s">
        <v>44</v>
      </c>
    </row>
    <row r="43">
      <c r="A43" s="7">
        <v>46184.063187395834</v>
      </c>
      <c r="B43" s="2" t="s">
        <v>45</v>
      </c>
    </row>
    <row r="44">
      <c r="A44" s="7">
        <v>46184.06321230324</v>
      </c>
      <c r="B44" s="2" t="s">
        <v>37</v>
      </c>
      <c r="C44" s="2" t="s">
        <v>38</v>
      </c>
    </row>
    <row r="45">
      <c r="A45" s="7">
        <v>46184.0632146412</v>
      </c>
      <c r="B45" s="2" t="s">
        <v>39</v>
      </c>
      <c r="C45" s="2" t="s">
        <v>52</v>
      </c>
    </row>
    <row r="46">
      <c r="A46" s="7">
        <v>46184.0632199074</v>
      </c>
      <c r="B46" s="2" t="s">
        <v>41</v>
      </c>
      <c r="C46" s="2" t="s">
        <v>42</v>
      </c>
    </row>
    <row r="47">
      <c r="A47" s="7">
        <v>46184.06322258102</v>
      </c>
      <c r="B47" s="2" t="s">
        <v>43</v>
      </c>
      <c r="C47" s="2">
        <v>7.75285374E9</v>
      </c>
    </row>
    <row r="48">
      <c r="A48" s="7">
        <v>46184.063226886574</v>
      </c>
      <c r="B48" s="2" t="s">
        <v>44</v>
      </c>
    </row>
    <row r="49">
      <c r="A49" s="7">
        <v>46184.0632308912</v>
      </c>
      <c r="B49" s="2" t="s">
        <v>45</v>
      </c>
    </row>
    <row r="50">
      <c r="A50" s="7">
        <v>46184.063420729166</v>
      </c>
      <c r="B50" s="2" t="s">
        <v>37</v>
      </c>
      <c r="C50" s="2" t="s">
        <v>38</v>
      </c>
    </row>
    <row r="51">
      <c r="A51" s="7">
        <v>46184.063431435185</v>
      </c>
      <c r="B51" s="2" t="s">
        <v>39</v>
      </c>
      <c r="C51" s="2" t="s">
        <v>53</v>
      </c>
    </row>
    <row r="52">
      <c r="A52" s="7">
        <v>46184.06344136574</v>
      </c>
      <c r="B52" s="2" t="s">
        <v>41</v>
      </c>
      <c r="C52" s="2" t="s">
        <v>42</v>
      </c>
    </row>
    <row r="53">
      <c r="A53" s="7">
        <v>46184.063448553236</v>
      </c>
      <c r="B53" s="2" t="s">
        <v>43</v>
      </c>
      <c r="C53" s="2">
        <v>7.75285374E9</v>
      </c>
    </row>
    <row r="54">
      <c r="A54" s="7">
        <v>46184.06345524306</v>
      </c>
      <c r="B54" s="2" t="s">
        <v>44</v>
      </c>
    </row>
    <row r="55">
      <c r="A55" s="7">
        <v>46184.06346207176</v>
      </c>
      <c r="B55" s="2" t="s">
        <v>45</v>
      </c>
    </row>
    <row r="56">
      <c r="A56" s="7">
        <v>46184.06521584491</v>
      </c>
      <c r="B56" s="2" t="s">
        <v>37</v>
      </c>
      <c r="C56" s="2" t="s">
        <v>38</v>
      </c>
    </row>
    <row r="57">
      <c r="A57" s="7">
        <v>46184.06534123843</v>
      </c>
      <c r="B57" s="2" t="s">
        <v>37</v>
      </c>
      <c r="C57" s="2" t="s">
        <v>38</v>
      </c>
    </row>
    <row r="58">
      <c r="A58" s="7">
        <v>46184.40455040509</v>
      </c>
      <c r="B58" s="2" t="s">
        <v>37</v>
      </c>
      <c r="C58" s="2" t="s">
        <v>38</v>
      </c>
    </row>
    <row r="59">
      <c r="A59" s="7">
        <v>46184.40464099537</v>
      </c>
      <c r="B59" s="2" t="s">
        <v>37</v>
      </c>
      <c r="C59" s="2" t="s">
        <v>38</v>
      </c>
    </row>
    <row r="60">
      <c r="A60" s="7">
        <v>46184.40471289352</v>
      </c>
      <c r="B60" s="2" t="s">
        <v>37</v>
      </c>
      <c r="C60" s="2" t="s">
        <v>38</v>
      </c>
    </row>
    <row r="61">
      <c r="A61" s="7">
        <v>46184.40481731482</v>
      </c>
      <c r="B61" s="2" t="s">
        <v>37</v>
      </c>
      <c r="C61" s="2" t="s">
        <v>38</v>
      </c>
    </row>
    <row r="62">
      <c r="A62" s="7">
        <v>46184.414640532406</v>
      </c>
      <c r="B62" s="2" t="s">
        <v>37</v>
      </c>
      <c r="C62" s="2" t="s">
        <v>38</v>
      </c>
    </row>
    <row r="63">
      <c r="A63" s="7">
        <v>46184.414743483794</v>
      </c>
      <c r="B63" s="2" t="s">
        <v>37</v>
      </c>
      <c r="C63" s="2" t="s">
        <v>38</v>
      </c>
    </row>
    <row r="64">
      <c r="A64" s="7">
        <v>46184.414803113425</v>
      </c>
      <c r="B64" s="2" t="s">
        <v>37</v>
      </c>
      <c r="C64" s="2" t="s">
        <v>38</v>
      </c>
    </row>
    <row r="65">
      <c r="A65" s="7">
        <v>46184.41697719907</v>
      </c>
      <c r="B65" s="2" t="s">
        <v>37</v>
      </c>
      <c r="C65" s="2" t="s">
        <v>38</v>
      </c>
    </row>
    <row r="66">
      <c r="A66" s="7">
        <v>46184.41712943287</v>
      </c>
      <c r="B66" s="2" t="s">
        <v>37</v>
      </c>
      <c r="C66" s="2" t="s">
        <v>38</v>
      </c>
    </row>
    <row r="67">
      <c r="A67" s="7">
        <v>46184.417209189814</v>
      </c>
      <c r="B67" s="2" t="s">
        <v>37</v>
      </c>
      <c r="C67" s="2" t="s">
        <v>38</v>
      </c>
    </row>
    <row r="68">
      <c r="A68" s="7">
        <v>46184.42106340278</v>
      </c>
      <c r="B68" s="2" t="s">
        <v>37</v>
      </c>
      <c r="C68" s="2" t="s">
        <v>38</v>
      </c>
    </row>
    <row r="69">
      <c r="A69" s="7">
        <v>46184.42115165509</v>
      </c>
      <c r="B69" s="2" t="s">
        <v>37</v>
      </c>
      <c r="C69" s="2" t="s">
        <v>38</v>
      </c>
    </row>
    <row r="70">
      <c r="A70" s="7">
        <v>46184.42121688658</v>
      </c>
      <c r="B70" s="2" t="s">
        <v>37</v>
      </c>
      <c r="C70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0.38"/>
    <col customWidth="1" min="7" max="7" width="21.63"/>
  </cols>
  <sheetData>
    <row r="1">
      <c r="A1" s="1" t="s">
        <v>28</v>
      </c>
      <c r="B1" s="1" t="s">
        <v>54</v>
      </c>
      <c r="C1" s="1" t="s">
        <v>55</v>
      </c>
      <c r="D1" s="1" t="s">
        <v>56</v>
      </c>
      <c r="E1" s="1" t="s">
        <v>57</v>
      </c>
      <c r="F1" s="1" t="s">
        <v>58</v>
      </c>
      <c r="G1" s="1" t="s">
        <v>59</v>
      </c>
      <c r="H1" s="1" t="s">
        <v>30</v>
      </c>
    </row>
    <row r="2">
      <c r="F2" s="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55</v>
      </c>
      <c r="B1" s="8" t="s">
        <v>60</v>
      </c>
      <c r="C1" s="8" t="s">
        <v>61</v>
      </c>
      <c r="D1" s="8" t="s">
        <v>62</v>
      </c>
      <c r="E1" s="8" t="s">
        <v>63</v>
      </c>
      <c r="F1" s="8" t="s">
        <v>64</v>
      </c>
      <c r="G1" s="8" t="s">
        <v>65</v>
      </c>
      <c r="H1" s="8" t="s">
        <v>66</v>
      </c>
      <c r="I1" s="8" t="s">
        <v>67</v>
      </c>
    </row>
    <row r="2">
      <c r="A2" s="9" t="s">
        <v>68</v>
      </c>
      <c r="B2" s="9" t="s">
        <v>69</v>
      </c>
      <c r="C2" s="9" t="s">
        <v>70</v>
      </c>
      <c r="D2" s="9" t="s">
        <v>71</v>
      </c>
      <c r="E2" s="10">
        <v>60.0</v>
      </c>
      <c r="F2" s="10">
        <v>90.0</v>
      </c>
      <c r="G2" s="10">
        <v>500.0</v>
      </c>
      <c r="H2" s="10">
        <v>700.0</v>
      </c>
      <c r="I2" s="11" t="b">
        <v>1</v>
      </c>
    </row>
    <row r="3">
      <c r="A3" s="9" t="s">
        <v>72</v>
      </c>
      <c r="B3" s="9" t="s">
        <v>73</v>
      </c>
      <c r="C3" s="9" t="s">
        <v>74</v>
      </c>
      <c r="D3" s="9" t="s">
        <v>75</v>
      </c>
      <c r="E3" s="10">
        <v>180.0</v>
      </c>
      <c r="F3" s="10">
        <v>300.0</v>
      </c>
      <c r="G3" s="10">
        <v>1500.0</v>
      </c>
      <c r="H3" s="10">
        <v>3000.0</v>
      </c>
      <c r="I3" s="1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76</v>
      </c>
      <c r="B1" s="8" t="s">
        <v>77</v>
      </c>
      <c r="C1" s="8" t="s">
        <v>55</v>
      </c>
      <c r="D1" s="8" t="s">
        <v>56</v>
      </c>
      <c r="E1" s="8" t="s">
        <v>54</v>
      </c>
      <c r="F1" s="8" t="s">
        <v>78</v>
      </c>
      <c r="G1" s="8" t="s">
        <v>79</v>
      </c>
    </row>
    <row r="2">
      <c r="A2" s="9" t="s">
        <v>80</v>
      </c>
      <c r="B2" s="9" t="s">
        <v>81</v>
      </c>
      <c r="C2" s="9" t="s">
        <v>72</v>
      </c>
      <c r="D2" s="9" t="s">
        <v>82</v>
      </c>
      <c r="E2" s="9" t="s">
        <v>83</v>
      </c>
      <c r="F2" s="9" t="s">
        <v>84</v>
      </c>
      <c r="G2" s="12">
        <v>46183.0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85</v>
      </c>
      <c r="B1" s="8" t="s">
        <v>76</v>
      </c>
      <c r="C1" s="8" t="s">
        <v>86</v>
      </c>
      <c r="D1" s="8" t="s">
        <v>87</v>
      </c>
      <c r="E1" s="8" t="s">
        <v>88</v>
      </c>
      <c r="F1" s="8" t="s">
        <v>78</v>
      </c>
    </row>
    <row r="2">
      <c r="A2" s="9" t="s">
        <v>89</v>
      </c>
      <c r="B2" s="9" t="s">
        <v>80</v>
      </c>
      <c r="C2" s="12">
        <v>46188.0</v>
      </c>
      <c r="D2" s="9" t="s">
        <v>90</v>
      </c>
      <c r="E2" s="10">
        <v>1.0</v>
      </c>
      <c r="F2" s="9" t="s">
        <v>84</v>
      </c>
    </row>
    <row r="3">
      <c r="A3" s="9" t="s">
        <v>91</v>
      </c>
      <c r="B3" s="9" t="s">
        <v>80</v>
      </c>
      <c r="C3" s="12">
        <v>46189.0</v>
      </c>
      <c r="D3" s="9" t="s">
        <v>92</v>
      </c>
      <c r="E3" s="10">
        <v>2.0</v>
      </c>
      <c r="F3" s="9" t="s">
        <v>84</v>
      </c>
    </row>
    <row r="4">
      <c r="A4" s="9" t="s">
        <v>93</v>
      </c>
      <c r="B4" s="9" t="s">
        <v>80</v>
      </c>
      <c r="C4" s="12">
        <v>46190.0</v>
      </c>
      <c r="D4" s="9" t="s">
        <v>94</v>
      </c>
      <c r="E4" s="10">
        <v>3.0</v>
      </c>
      <c r="F4" s="9" t="s">
        <v>84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56</v>
      </c>
      <c r="B1" s="8" t="s">
        <v>55</v>
      </c>
      <c r="C1" s="8" t="s">
        <v>67</v>
      </c>
    </row>
    <row r="2">
      <c r="A2" s="9" t="s">
        <v>82</v>
      </c>
      <c r="B2" s="9" t="s">
        <v>68</v>
      </c>
      <c r="C2" s="11" t="b">
        <v>1</v>
      </c>
    </row>
    <row r="3">
      <c r="A3" s="9" t="s">
        <v>82</v>
      </c>
      <c r="B3" s="9" t="s">
        <v>72</v>
      </c>
      <c r="C3" s="11" t="b">
        <v>1</v>
      </c>
    </row>
    <row r="4">
      <c r="A4" s="9" t="s">
        <v>95</v>
      </c>
      <c r="B4" s="9" t="s">
        <v>68</v>
      </c>
      <c r="C4" s="11" t="b">
        <v>1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56</v>
      </c>
      <c r="B1" s="8" t="s">
        <v>96</v>
      </c>
      <c r="C1" s="8" t="s">
        <v>97</v>
      </c>
      <c r="D1" s="8" t="s">
        <v>98</v>
      </c>
      <c r="E1" s="8" t="s">
        <v>67</v>
      </c>
    </row>
    <row r="2">
      <c r="A2" s="9" t="s">
        <v>82</v>
      </c>
      <c r="B2" s="9" t="s">
        <v>99</v>
      </c>
      <c r="C2" s="13">
        <v>0.375</v>
      </c>
      <c r="D2" s="13">
        <v>0.75</v>
      </c>
      <c r="E2" s="11" t="b">
        <v>1</v>
      </c>
    </row>
    <row r="3">
      <c r="A3" s="9" t="s">
        <v>82</v>
      </c>
      <c r="B3" s="9" t="s">
        <v>100</v>
      </c>
      <c r="C3" s="13">
        <v>0.4166666666666667</v>
      </c>
      <c r="D3" s="13">
        <v>0.8333333333333334</v>
      </c>
      <c r="E3" s="11" t="b">
        <v>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25"/>
  </cols>
  <sheetData>
    <row r="1">
      <c r="A1" s="8" t="s">
        <v>56</v>
      </c>
      <c r="B1" s="8" t="s">
        <v>101</v>
      </c>
      <c r="C1" s="8" t="s">
        <v>102</v>
      </c>
      <c r="D1" s="8" t="s">
        <v>54</v>
      </c>
      <c r="E1" s="14" t="s">
        <v>103</v>
      </c>
      <c r="F1" s="8" t="s">
        <v>67</v>
      </c>
    </row>
    <row r="2">
      <c r="A2" s="9" t="s">
        <v>82</v>
      </c>
      <c r="B2" s="9" t="s">
        <v>104</v>
      </c>
      <c r="C2" s="10">
        <f>+380111111111</f>
        <v>380111111111</v>
      </c>
      <c r="D2" s="9" t="s">
        <v>83</v>
      </c>
      <c r="F2" s="11" t="b">
        <v>1</v>
      </c>
    </row>
    <row r="3">
      <c r="A3" s="9" t="s">
        <v>95</v>
      </c>
      <c r="B3" s="9" t="s">
        <v>105</v>
      </c>
      <c r="C3" s="10">
        <f>+380111111112</f>
        <v>380111111112</v>
      </c>
      <c r="D3" s="9" t="s">
        <v>106</v>
      </c>
      <c r="F3" s="11" t="b">
        <v>1</v>
      </c>
    </row>
    <row r="4">
      <c r="A4" s="9" t="s">
        <v>107</v>
      </c>
      <c r="B4" s="2" t="s">
        <v>108</v>
      </c>
      <c r="C4" s="10">
        <f>+380111111113</f>
        <v>380111111113</v>
      </c>
      <c r="D4" s="15" t="s">
        <v>83</v>
      </c>
      <c r="F4" s="11" t="b">
        <v>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109</v>
      </c>
      <c r="B1" s="8" t="s">
        <v>56</v>
      </c>
      <c r="C1" s="8" t="s">
        <v>110</v>
      </c>
      <c r="D1" s="8" t="s">
        <v>111</v>
      </c>
      <c r="E1" s="8" t="s">
        <v>112</v>
      </c>
      <c r="F1" s="8" t="s">
        <v>2</v>
      </c>
    </row>
    <row r="2">
      <c r="A2" s="9" t="s">
        <v>113</v>
      </c>
      <c r="B2" s="9" t="s">
        <v>82</v>
      </c>
      <c r="C2" s="12">
        <v>46204.0</v>
      </c>
      <c r="D2" s="12">
        <v>46210.0</v>
      </c>
      <c r="E2" s="9" t="s">
        <v>114</v>
      </c>
      <c r="F2" s="9" t="s">
        <v>115</v>
      </c>
    </row>
    <row r="3">
      <c r="A3" s="9" t="s">
        <v>116</v>
      </c>
      <c r="B3" s="9" t="s">
        <v>95</v>
      </c>
      <c r="C3" s="12">
        <v>46188.0</v>
      </c>
      <c r="D3" s="12">
        <v>46188.0</v>
      </c>
      <c r="E3" s="9" t="s">
        <v>117</v>
      </c>
      <c r="F3" s="9" t="s">
        <v>118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119</v>
      </c>
      <c r="B1" s="8" t="s">
        <v>120</v>
      </c>
      <c r="C1" s="8" t="s">
        <v>112</v>
      </c>
      <c r="D1" s="8" t="s">
        <v>121</v>
      </c>
      <c r="E1" s="8" t="s">
        <v>122</v>
      </c>
      <c r="F1" s="8" t="s">
        <v>78</v>
      </c>
    </row>
    <row r="2">
      <c r="A2" s="9" t="s">
        <v>123</v>
      </c>
      <c r="B2" s="9" t="s">
        <v>124</v>
      </c>
      <c r="C2" s="9" t="s">
        <v>125</v>
      </c>
      <c r="D2" s="16">
        <v>46187.583333333336</v>
      </c>
      <c r="E2" s="9"/>
      <c r="F2" s="9" t="s">
        <v>84</v>
      </c>
    </row>
    <row r="3">
      <c r="A3" s="9" t="s">
        <v>126</v>
      </c>
      <c r="B3" s="9" t="s">
        <v>124</v>
      </c>
      <c r="C3" s="9" t="s">
        <v>127</v>
      </c>
      <c r="D3" s="16">
        <v>46188.5</v>
      </c>
      <c r="E3" s="9"/>
      <c r="F3" s="9" t="s">
        <v>84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38.25"/>
    <col customWidth="1" min="3" max="3" width="49.25"/>
    <col customWidth="1" min="4" max="4" width="37.13"/>
  </cols>
  <sheetData>
    <row r="1">
      <c r="A1" s="1" t="s">
        <v>0</v>
      </c>
      <c r="B1" s="1" t="s">
        <v>128</v>
      </c>
      <c r="C1" s="1" t="s">
        <v>7</v>
      </c>
      <c r="D1" s="1" t="s">
        <v>129</v>
      </c>
    </row>
    <row r="2">
      <c r="A2" s="2" t="s">
        <v>130</v>
      </c>
      <c r="B2" s="2" t="s">
        <v>131</v>
      </c>
      <c r="C2" s="2" t="s">
        <v>132</v>
      </c>
      <c r="D2" s="2" t="s">
        <v>133</v>
      </c>
    </row>
    <row r="3">
      <c r="A3" s="2" t="s">
        <v>134</v>
      </c>
      <c r="B3" s="2" t="s">
        <v>135</v>
      </c>
      <c r="C3" s="2" t="s">
        <v>136</v>
      </c>
      <c r="D3" s="2" t="s">
        <v>137</v>
      </c>
    </row>
    <row r="4">
      <c r="A4" s="2" t="s">
        <v>138</v>
      </c>
      <c r="B4" s="2" t="s">
        <v>139</v>
      </c>
      <c r="C4" s="2" t="s">
        <v>140</v>
      </c>
      <c r="D4" s="2" t="s">
        <v>141</v>
      </c>
    </row>
    <row r="5">
      <c r="A5" s="2" t="s">
        <v>142</v>
      </c>
      <c r="B5" s="2" t="s">
        <v>143</v>
      </c>
      <c r="C5" s="2" t="s">
        <v>144</v>
      </c>
      <c r="D5" s="2" t="s">
        <v>145</v>
      </c>
    </row>
    <row r="6">
      <c r="A6" s="2" t="s">
        <v>146</v>
      </c>
      <c r="B6" s="2" t="s">
        <v>147</v>
      </c>
      <c r="C6" s="2" t="s">
        <v>148</v>
      </c>
      <c r="D6" s="2" t="s">
        <v>149</v>
      </c>
    </row>
    <row r="7">
      <c r="A7" s="2" t="s">
        <v>150</v>
      </c>
      <c r="B7" s="2" t="s">
        <v>151</v>
      </c>
      <c r="C7" s="2" t="s">
        <v>152</v>
      </c>
      <c r="D7" s="2" t="s">
        <v>153</v>
      </c>
    </row>
    <row r="8">
      <c r="A8" s="2" t="s">
        <v>154</v>
      </c>
      <c r="B8" s="2" t="s">
        <v>155</v>
      </c>
      <c r="C8" s="2" t="s">
        <v>156</v>
      </c>
      <c r="D8" s="2" t="s">
        <v>157</v>
      </c>
    </row>
    <row r="9">
      <c r="A9" s="2" t="s">
        <v>158</v>
      </c>
      <c r="B9" s="2" t="s">
        <v>159</v>
      </c>
      <c r="C9" s="2" t="s">
        <v>160</v>
      </c>
      <c r="D9" s="2" t="s">
        <v>161</v>
      </c>
    </row>
    <row r="10">
      <c r="A10" s="2" t="s">
        <v>162</v>
      </c>
      <c r="B10" s="2" t="s">
        <v>163</v>
      </c>
      <c r="C10" s="2" t="s">
        <v>164</v>
      </c>
      <c r="D10" s="2" t="s">
        <v>165</v>
      </c>
    </row>
    <row r="11">
      <c r="A11" s="2" t="s">
        <v>166</v>
      </c>
      <c r="B11" s="2" t="s">
        <v>167</v>
      </c>
      <c r="C11" s="2" t="s">
        <v>168</v>
      </c>
      <c r="D11" s="2" t="s">
        <v>169</v>
      </c>
    </row>
    <row r="12">
      <c r="A12" s="2" t="s">
        <v>170</v>
      </c>
      <c r="B12" s="2" t="s">
        <v>171</v>
      </c>
      <c r="C12" s="2" t="s">
        <v>172</v>
      </c>
      <c r="D12" s="2" t="s">
        <v>173</v>
      </c>
    </row>
    <row r="13">
      <c r="A13" s="2" t="s">
        <v>174</v>
      </c>
      <c r="B13" s="2" t="s">
        <v>175</v>
      </c>
      <c r="C13" s="2" t="s">
        <v>176</v>
      </c>
      <c r="D13" s="2" t="s">
        <v>177</v>
      </c>
    </row>
    <row r="14">
      <c r="A14" s="2" t="s">
        <v>178</v>
      </c>
      <c r="B14" s="2" t="s">
        <v>179</v>
      </c>
      <c r="C14" s="2" t="s">
        <v>180</v>
      </c>
      <c r="D14" s="2" t="s">
        <v>181</v>
      </c>
    </row>
    <row r="15">
      <c r="A15" s="2" t="s">
        <v>182</v>
      </c>
      <c r="B15" s="2" t="s">
        <v>183</v>
      </c>
      <c r="C15" s="2" t="s">
        <v>184</v>
      </c>
      <c r="D15" s="2" t="s">
        <v>185</v>
      </c>
    </row>
    <row r="16">
      <c r="A16" s="2" t="s">
        <v>186</v>
      </c>
      <c r="B16" s="2" t="s">
        <v>187</v>
      </c>
      <c r="C16" s="2" t="s">
        <v>188</v>
      </c>
      <c r="D16" s="2" t="s">
        <v>189</v>
      </c>
    </row>
    <row r="17">
      <c r="A17" s="2" t="s">
        <v>190</v>
      </c>
      <c r="B17" s="2" t="s">
        <v>191</v>
      </c>
      <c r="C17" s="2" t="s">
        <v>191</v>
      </c>
      <c r="D17" s="2" t="s">
        <v>192</v>
      </c>
    </row>
    <row r="18">
      <c r="A18" s="2" t="s">
        <v>193</v>
      </c>
      <c r="B18" s="2" t="s">
        <v>194</v>
      </c>
      <c r="C18" s="2" t="s">
        <v>195</v>
      </c>
      <c r="D18" s="2" t="s">
        <v>196</v>
      </c>
    </row>
    <row r="19">
      <c r="A19" s="2" t="s">
        <v>197</v>
      </c>
      <c r="B19" s="2" t="s">
        <v>198</v>
      </c>
      <c r="C19" s="2" t="s">
        <v>199</v>
      </c>
      <c r="D19" s="2" t="s">
        <v>200</v>
      </c>
    </row>
    <row r="20">
      <c r="A20" s="2" t="s">
        <v>201</v>
      </c>
      <c r="B20" s="2" t="s">
        <v>202</v>
      </c>
      <c r="C20" s="2" t="s">
        <v>203</v>
      </c>
      <c r="D20" s="2" t="s">
        <v>204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54</v>
      </c>
      <c r="B1" s="1" t="s">
        <v>101</v>
      </c>
      <c r="C1" s="1" t="s">
        <v>205</v>
      </c>
      <c r="D1" s="1" t="s">
        <v>102</v>
      </c>
      <c r="E1" s="1" t="s">
        <v>67</v>
      </c>
    </row>
    <row r="2">
      <c r="A2" s="2" t="s">
        <v>83</v>
      </c>
      <c r="B2" s="2" t="s">
        <v>206</v>
      </c>
      <c r="C2" s="2" t="s">
        <v>207</v>
      </c>
      <c r="D2" s="17">
        <f>+380000000001</f>
        <v>380000000001</v>
      </c>
      <c r="E2" s="2" t="b">
        <v>1</v>
      </c>
    </row>
    <row r="3">
      <c r="A3" s="2" t="s">
        <v>106</v>
      </c>
      <c r="B3" s="2" t="s">
        <v>208</v>
      </c>
      <c r="C3" s="2" t="s">
        <v>207</v>
      </c>
      <c r="D3" s="17">
        <f>+380000000002</f>
        <v>380000000002</v>
      </c>
      <c r="E3" s="2" t="b">
        <v>1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77</v>
      </c>
      <c r="B1" s="8" t="s">
        <v>28</v>
      </c>
      <c r="C1" s="8" t="s">
        <v>101</v>
      </c>
      <c r="D1" s="8" t="s">
        <v>102</v>
      </c>
      <c r="E1" s="8" t="s">
        <v>209</v>
      </c>
      <c r="F1" s="8" t="s">
        <v>79</v>
      </c>
      <c r="G1" s="8" t="s">
        <v>210</v>
      </c>
      <c r="H1" s="8" t="s">
        <v>211</v>
      </c>
    </row>
    <row r="2">
      <c r="A2" s="9" t="s">
        <v>81</v>
      </c>
      <c r="B2" s="10">
        <v>123456.0</v>
      </c>
      <c r="C2" s="9" t="s">
        <v>108</v>
      </c>
      <c r="D2" s="10">
        <v>3.801111111E9</v>
      </c>
      <c r="E2" s="9" t="s">
        <v>7</v>
      </c>
      <c r="F2" s="12">
        <v>46183.0</v>
      </c>
      <c r="G2" s="9"/>
      <c r="H2" s="9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120</v>
      </c>
      <c r="B1" s="8" t="s">
        <v>76</v>
      </c>
      <c r="C1" s="8" t="s">
        <v>77</v>
      </c>
      <c r="D1" s="8" t="s">
        <v>55</v>
      </c>
      <c r="E1" s="8" t="s">
        <v>56</v>
      </c>
      <c r="F1" s="8" t="s">
        <v>54</v>
      </c>
      <c r="G1" s="8" t="s">
        <v>212</v>
      </c>
      <c r="H1" s="8" t="s">
        <v>213</v>
      </c>
      <c r="I1" s="8" t="s">
        <v>78</v>
      </c>
      <c r="J1" s="8" t="s">
        <v>214</v>
      </c>
    </row>
    <row r="2">
      <c r="A2" s="9" t="s">
        <v>124</v>
      </c>
      <c r="B2" s="9" t="s">
        <v>80</v>
      </c>
      <c r="C2" s="9" t="s">
        <v>81</v>
      </c>
      <c r="D2" s="9" t="s">
        <v>72</v>
      </c>
      <c r="E2" s="9" t="s">
        <v>82</v>
      </c>
      <c r="F2" s="9" t="s">
        <v>83</v>
      </c>
      <c r="G2" s="16">
        <v>46188.583333333336</v>
      </c>
      <c r="H2" s="16">
        <v>46188.75</v>
      </c>
      <c r="I2" s="9" t="s">
        <v>215</v>
      </c>
      <c r="J2" s="9" t="s">
        <v>216</v>
      </c>
    </row>
  </sheetData>
  <drawing r:id="rId1"/>
</worksheet>
</file>